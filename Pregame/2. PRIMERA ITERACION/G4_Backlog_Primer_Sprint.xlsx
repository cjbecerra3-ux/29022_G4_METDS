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4D68359E-5C83-4124-AB7E-6524AF5D5156}" xr6:coauthVersionLast="47" xr6:coauthVersionMax="47" xr10:uidLastSave="{00000000-0000-0000-0000-000000000000}"/>
  <bookViews>
    <workbookView xWindow="-108" yWindow="-108" windowWidth="23256" windowHeight="13176" tabRatio="598" activeTab="2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6" i="3" l="1"/>
  <c r="G56" i="3" s="1"/>
  <c r="H56" i="3" s="1"/>
  <c r="I56" i="3" s="1"/>
  <c r="J56" i="3" s="1"/>
  <c r="K56" i="3" s="1"/>
  <c r="L56" i="3" s="1"/>
  <c r="M56" i="3" s="1"/>
  <c r="N56" i="3" s="1"/>
  <c r="O56" i="3" s="1"/>
  <c r="P56" i="3" s="1"/>
  <c r="Q56" i="3" s="1"/>
  <c r="R56" i="3" s="1"/>
  <c r="S56" i="3" s="1"/>
  <c r="T56" i="3" s="1"/>
  <c r="E56" i="3"/>
  <c r="D56" i="3"/>
  <c r="E55" i="3"/>
  <c r="F55" i="3" s="1"/>
  <c r="G55" i="3" s="1"/>
  <c r="H55" i="3" s="1"/>
  <c r="I55" i="3" s="1"/>
  <c r="J55" i="3" s="1"/>
  <c r="D55" i="3"/>
  <c r="T9" i="3"/>
  <c r="T4" i="3"/>
  <c r="T5" i="3"/>
  <c r="T6" i="3"/>
  <c r="T7" i="3"/>
  <c r="T10" i="3"/>
  <c r="T11" i="3"/>
  <c r="T12" i="3"/>
  <c r="T13" i="3"/>
  <c r="T15" i="3"/>
  <c r="T16" i="3"/>
  <c r="T17" i="3"/>
  <c r="T18" i="3"/>
  <c r="K55" i="3" l="1"/>
  <c r="L55" i="3" l="1"/>
  <c r="M55" i="3" s="1"/>
  <c r="N55" i="3" s="1"/>
  <c r="O55" i="3" s="1"/>
  <c r="P55" i="3" l="1"/>
  <c r="Q55" i="3" s="1"/>
  <c r="R55" i="3" s="1"/>
  <c r="S55" i="3" l="1"/>
  <c r="T55" i="3" s="1"/>
  <c r="U55" i="3"/>
  <c r="T19" i="3" l="1"/>
  <c r="U56" i="3" l="1"/>
</calcChain>
</file>

<file path=xl/sharedStrings.xml><?xml version="1.0" encoding="utf-8"?>
<sst xmlns="http://schemas.openxmlformats.org/spreadsheetml/2006/main" count="182" uniqueCount="91">
  <si>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</si>
  <si>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</si>
  <si>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</si>
  <si>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</si>
  <si>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</si>
  <si>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</si>
  <si>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</si>
  <si>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</si>
  <si>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</si>
  <si>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</si>
  <si>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</si>
  <si>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</si>
  <si>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</si>
  <si>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</si>
  <si>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</si>
  <si>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</si>
  <si>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</si>
  <si>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Total de Horas</t>
  </si>
  <si>
    <t>Horas Estimadas</t>
  </si>
  <si>
    <t>Horas Estimadas
Restantes</t>
  </si>
  <si>
    <t>Administrador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</si>
  <si>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</si>
  <si>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</si>
  <si>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</si>
  <si>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</si>
  <si>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</si>
  <si>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</si>
  <si>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</si>
  <si>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</si>
  <si>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</si>
  <si>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</si>
  <si>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</si>
  <si>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</si>
  <si>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En proceso</t>
  </si>
  <si>
    <t>Ismael Silva</t>
  </si>
  <si>
    <t>Kevin Castillo</t>
  </si>
  <si>
    <t>Cristian Becerra</t>
  </si>
  <si>
    <t>RQ001-1</t>
  </si>
  <si>
    <t>RQ001-2</t>
  </si>
  <si>
    <t>RQ001-3</t>
  </si>
  <si>
    <t>RQ001-4</t>
  </si>
  <si>
    <t>RQ001</t>
  </si>
  <si>
    <t>Ingresar al sistema mediante credenciales</t>
  </si>
  <si>
    <t>Garantizar que solo usuarios autorizados accedan.</t>
  </si>
  <si>
    <t>RQ002</t>
  </si>
  <si>
    <t>Gestión de Comandas</t>
  </si>
  <si>
    <t xml:space="preserve">Registrar comandas en una interfaz con el menu. </t>
  </si>
  <si>
    <t xml:space="preserve"> Reducir errores y agilizar la toma de pedidos.</t>
  </si>
  <si>
    <t>RQ003</t>
  </si>
  <si>
    <t>Vizualizar las comandas y el estado en tiempo real.</t>
  </si>
  <si>
    <t>Día 1</t>
  </si>
  <si>
    <t>Día 2</t>
  </si>
  <si>
    <t>Día 3</t>
  </si>
  <si>
    <t>Día 4</t>
  </si>
  <si>
    <t>Día 5</t>
  </si>
  <si>
    <t>RQ002-1</t>
  </si>
  <si>
    <t>RQ002-2</t>
  </si>
  <si>
    <t>RQ002-3</t>
  </si>
  <si>
    <t>RQ002-4</t>
  </si>
  <si>
    <t>RQ002-5</t>
  </si>
  <si>
    <t>RQ003-1</t>
  </si>
  <si>
    <t>RQ003-2</t>
  </si>
  <si>
    <t>RQ003-3</t>
  </si>
  <si>
    <t>RQ003-4</t>
  </si>
  <si>
    <t>RQ003-5</t>
  </si>
  <si>
    <t>1h</t>
  </si>
  <si>
    <t>2h</t>
  </si>
  <si>
    <t>4h</t>
  </si>
  <si>
    <t>5h</t>
  </si>
  <si>
    <t>Visualizar las comandas y el estado en tiempo real.</t>
  </si>
  <si>
    <t xml:space="preserve"> Visualizar y tener un seguimiento del estado actual de la comanda. </t>
  </si>
  <si>
    <t>Inicio de sesión</t>
  </si>
  <si>
    <t>Visualización de Comandas</t>
  </si>
  <si>
    <t>Sprint 1</t>
  </si>
  <si>
    <t xml:space="preserve">  El sistema debe validar que el usuario y la contraseña ingresados sean correctos</t>
  </si>
  <si>
    <t xml:space="preserve">  El campo de contraseña debe mostrarse enmascarado con asteriscos por seguridad (••••)</t>
  </si>
  <si>
    <t xml:space="preserve">  El sistema debe mostrar el mensaje 'Credenciales incorrectas' cuando las credenciales sean inválidas</t>
  </si>
  <si>
    <t xml:space="preserve">  El sistema debe bloquearse automáticamente por 30 segundos después de 3 intentos fallidos de inicio de sesión</t>
  </si>
  <si>
    <t xml:space="preserve">  La interfaz debe mostrar todos los productos con precios visibles y un selector de cantidades</t>
  </si>
  <si>
    <t xml:space="preserve">  La comanda debe permitir recolectar datos del pedido, incluyendo nombre del cliente, platos, cantidades y precios</t>
  </si>
  <si>
    <t xml:space="preserve">  La interfaz debe incluir un campo para comentarios o peticiones especiales del cliente</t>
  </si>
  <si>
    <t xml:space="preserve">  El resumen debe mostrar la comanda con cálculo automático del precio total</t>
  </si>
  <si>
    <t xml:space="preserve">  El botón de confirmación debe generar y guardar la comanda en la base de datos</t>
  </si>
  <si>
    <t xml:space="preserve">  La pantalla debe mostrar dos secciones: "Pedidos en Proceso" en rojo y "Pedidos Listos" en verde</t>
  </si>
  <si>
    <t xml:space="preserve">  Los pedidos deben organizarse en orden de llegada</t>
  </si>
  <si>
    <t xml:space="preserve">  Cada pedido debe mostrar detalles completos de la comanda</t>
  </si>
  <si>
    <t xml:space="preserve">  El botón "Realizado" debe cambiar pedidos de "en proceso" a "Realizados"</t>
  </si>
  <si>
    <t xml:space="preserve">  Los cambios deben reflejarse en tiempo real al actualizar el estado</t>
  </si>
  <si>
    <t>Completado</t>
  </si>
  <si>
    <t>Reducir errores y agilizar la toma de pedidos.</t>
  </si>
  <si>
    <t xml:space="preserve">Visualizar y tener un seguimiento del estado actual de la comanda.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</si>
</sst>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b/>
      <sz val="10"/>
      <color rgb="FFFF0000"/>
      <name val="Arial"/>
      <family val="2"/>
      <scheme val="minor"/>
    </font>
    <font>
      <b/>
      <sz val="10"/>
      <color rgb="FF0070C0"/>
      <name val="Arial"/>
      <family val="2"/>
    </font>
    <font>
      <b/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4" tint="-0.249977111117893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AA84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1"/>
  </cellStyleXfs>
  <cellXfs count="9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3" fillId="0" borderId="1" xfId="0" applyFont="1" applyBorder="1"/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right"/>
    </xf>
    <xf numFmtId="0" fontId="0" fillId="0" borderId="1" xfId="0" applyBorder="1"/>
    <xf numFmtId="0" fontId="11" fillId="18" borderId="3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7" fillId="19" borderId="4" xfId="0" applyFont="1" applyFill="1" applyBorder="1" applyAlignment="1">
      <alignment horizontal="center"/>
    </xf>
    <xf numFmtId="0" fontId="17" fillId="19" borderId="5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3" fillId="20" borderId="1" xfId="0" applyFont="1" applyFill="1" applyBorder="1"/>
    <xf numFmtId="0" fontId="3" fillId="20" borderId="7" xfId="0" applyFont="1" applyFill="1" applyBorder="1"/>
    <xf numFmtId="0" fontId="12" fillId="9" borderId="6" xfId="0" applyFont="1" applyFill="1" applyBorder="1" applyAlignment="1">
      <alignment horizontal="center" vertical="center"/>
    </xf>
    <xf numFmtId="0" fontId="8" fillId="10" borderId="1" xfId="0" applyFont="1" applyFill="1" applyBorder="1"/>
    <xf numFmtId="0" fontId="7" fillId="21" borderId="1" xfId="0" applyFont="1" applyFill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0" fillId="0" borderId="6" xfId="0" applyBorder="1"/>
    <xf numFmtId="0" fontId="2" fillId="0" borderId="1" xfId="0" applyFont="1" applyBorder="1"/>
    <xf numFmtId="0" fontId="12" fillId="13" borderId="6" xfId="0" applyFont="1" applyFill="1" applyBorder="1" applyAlignment="1">
      <alignment horizontal="center" vertical="center"/>
    </xf>
    <xf numFmtId="0" fontId="14" fillId="10" borderId="1" xfId="0" applyFont="1" applyFill="1" applyBorder="1"/>
    <xf numFmtId="0" fontId="0" fillId="0" borderId="1" xfId="0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8" fillId="10" borderId="9" xfId="0" applyFont="1" applyFill="1" applyBorder="1"/>
    <xf numFmtId="0" fontId="7" fillId="21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18" fillId="19" borderId="11" xfId="0" applyFont="1" applyFill="1" applyBorder="1" applyAlignment="1">
      <alignment horizontal="center"/>
    </xf>
    <xf numFmtId="0" fontId="18" fillId="19" borderId="12" xfId="0" applyFont="1" applyFill="1" applyBorder="1" applyAlignment="1">
      <alignment horizontal="center"/>
    </xf>
    <xf numFmtId="0" fontId="18" fillId="19" borderId="13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2" fillId="9" borderId="6" xfId="0" applyFont="1" applyFill="1" applyBorder="1"/>
    <xf numFmtId="0" fontId="12" fillId="9" borderId="1" xfId="0" applyFont="1" applyFill="1" applyBorder="1"/>
    <xf numFmtId="0" fontId="13" fillId="9" borderId="1" xfId="0" applyFont="1" applyFill="1" applyBorder="1"/>
    <xf numFmtId="0" fontId="12" fillId="9" borderId="1" xfId="0" applyFont="1" applyFill="1" applyBorder="1" applyAlignment="1">
      <alignment horizontal="center" vertical="center"/>
    </xf>
    <xf numFmtId="0" fontId="12" fillId="9" borderId="7" xfId="0" applyFont="1" applyFill="1" applyBorder="1"/>
    <xf numFmtId="0" fontId="6" fillId="6" borderId="6" xfId="0" applyFont="1" applyFill="1" applyBorder="1"/>
    <xf numFmtId="0" fontId="8" fillId="16" borderId="1" xfId="0" applyFont="1" applyFill="1" applyBorder="1"/>
    <xf numFmtId="0" fontId="6" fillId="16" borderId="1" xfId="0" applyFont="1" applyFill="1" applyBorder="1"/>
    <xf numFmtId="0" fontId="8" fillId="16" borderId="7" xfId="0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12" fillId="13" borderId="6" xfId="0" applyFont="1" applyFill="1" applyBorder="1"/>
    <xf numFmtId="0" fontId="12" fillId="13" borderId="1" xfId="0" applyFont="1" applyFill="1" applyBorder="1"/>
    <xf numFmtId="0" fontId="12" fillId="13" borderId="1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/>
    </xf>
    <xf numFmtId="0" fontId="0" fillId="6" borderId="6" xfId="0" applyFill="1" applyBorder="1"/>
    <xf numFmtId="0" fontId="8" fillId="8" borderId="1" xfId="0" applyFont="1" applyFill="1" applyBorder="1"/>
    <xf numFmtId="0" fontId="6" fillId="8" borderId="1" xfId="0" applyFont="1" applyFill="1" applyBorder="1"/>
    <xf numFmtId="0" fontId="8" fillId="8" borderId="7" xfId="0" applyFont="1" applyFill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" fillId="14" borderId="6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4" borderId="7" xfId="0" applyFont="1" applyFill="1" applyBorder="1" applyAlignment="1">
      <alignment horizontal="center"/>
    </xf>
    <xf numFmtId="0" fontId="12" fillId="5" borderId="6" xfId="0" applyFont="1" applyFill="1" applyBorder="1"/>
    <xf numFmtId="0" fontId="12" fillId="5" borderId="1" xfId="0" applyFont="1" applyFill="1" applyBorder="1"/>
    <xf numFmtId="0" fontId="12" fillId="5" borderId="1" xfId="0" applyFont="1" applyFill="1" applyBorder="1" applyAlignment="1">
      <alignment wrapText="1"/>
    </xf>
    <xf numFmtId="0" fontId="12" fillId="5" borderId="1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/>
    </xf>
    <xf numFmtId="0" fontId="8" fillId="15" borderId="1" xfId="0" applyFont="1" applyFill="1" applyBorder="1"/>
    <xf numFmtId="0" fontId="6" fillId="15" borderId="1" xfId="0" applyFont="1" applyFill="1" applyBorder="1"/>
    <xf numFmtId="0" fontId="8" fillId="15" borderId="7" xfId="0" applyFont="1" applyFill="1" applyBorder="1" applyAlignment="1">
      <alignment horizontal="center"/>
    </xf>
    <xf numFmtId="0" fontId="15" fillId="0" borderId="8" xfId="0" applyFont="1" applyBorder="1"/>
    <xf numFmtId="0" fontId="15" fillId="0" borderId="9" xfId="0" applyFont="1" applyBorder="1" applyAlignment="1">
      <alignment horizontal="left"/>
    </xf>
    <xf numFmtId="0" fontId="16" fillId="0" borderId="9" xfId="0" applyFont="1" applyBorder="1"/>
    <xf numFmtId="0" fontId="12" fillId="5" borderId="9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0" fontId="5" fillId="17" borderId="2" xfId="0" applyFont="1" applyFill="1" applyBorder="1" applyAlignment="1">
      <alignment horizontal="left" vertical="center"/>
    </xf>
    <xf numFmtId="0" fontId="17" fillId="19" borderId="2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2" fillId="13" borderId="6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colors>
    <mruColors>
      <color rgb="FF66FFFF"/>
      <color rgb="FF00FFFF"/>
      <color rgb="FF33CCCC"/>
      <color rgb="FFFFFFCC"/>
      <color rgb="FFFFFF66"/>
      <color rgb="FFFFFF00"/>
      <color rgb="FFCCCCFF"/>
      <color rgb="FF0000CC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3.9611393407361618E-2"/>
          <c:y val="0.14333306696617448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BURDONCHART!$C$55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BURDONCHART!$D$55:$T$55</c:f>
              <c:numCache>
                <c:formatCode>General</c:formatCode>
                <c:ptCount val="17"/>
                <c:pt idx="0">
                  <c:v>0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-5</c:v>
                </c:pt>
                <c:pt idx="6">
                  <c:v>-6</c:v>
                </c:pt>
                <c:pt idx="7">
                  <c:v>-11</c:v>
                </c:pt>
                <c:pt idx="8">
                  <c:v>-16</c:v>
                </c:pt>
                <c:pt idx="9">
                  <c:v>-21</c:v>
                </c:pt>
                <c:pt idx="10">
                  <c:v>-26</c:v>
                </c:pt>
                <c:pt idx="11">
                  <c:v>-32</c:v>
                </c:pt>
                <c:pt idx="12">
                  <c:v>-37</c:v>
                </c:pt>
                <c:pt idx="13">
                  <c:v>-46</c:v>
                </c:pt>
                <c:pt idx="14">
                  <c:v>-52</c:v>
                </c:pt>
                <c:pt idx="15">
                  <c:v>-56</c:v>
                </c:pt>
                <c:pt idx="16">
                  <c:v>-65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BURDONCHART!$C$56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BURDONCHART!$D$56:$T$56</c:f>
              <c:numCache>
                <c:formatCode>0.0</c:formatCode>
                <c:ptCount val="1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246557</xdr:colOff>
      <xdr:row>58</xdr:row>
      <xdr:rowOff>26444</xdr:rowOff>
    </xdr:from>
    <xdr:to>
      <xdr:col>17</xdr:col>
      <xdr:colOff>732081</xdr:colOff>
      <xdr:row>78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T8:T10" headerRowCount="0" totalsRowShown="0">
  <tableColumns count="1">
    <tableColumn id="1" xr3:uid="{00000000-0010-0000-0100-000001000000}" name="Column1" totalsRowDxfId="0">
      <calculatedColumnFormula>SUM(D8:S8)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T4:T6" headerRowCount="0" totalsRowShown="0">
  <tableColumns count="1">
    <tableColumn id="1" xr3:uid="{00000000-0010-0000-0000-000001000000}" name="Column1" totalsRowDxfId="1">
      <calculatedColumnFormula>SUM(H4:S4)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59"/>
  <sheetViews>
    <sheetView zoomScale="71" zoomScaleNormal="85" workbookViewId="0">
      <selection activeCell="D11" sqref="D11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57.109375" customWidth="1"/>
    <col min="5" max="5" width="84" customWidth="1"/>
    <col min="6" max="6" width="14.44140625" customWidth="1"/>
    <col min="7" max="26" width="12.44140625" customWidth="1"/>
  </cols>
  <sheetData>
    <row r="1" spans="1:8" ht="15.75" customHeight="1" x14ac:dyDescent="0.25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</row>
    <row r="2" spans="1:8" ht="15.75" customHeight="1" x14ac:dyDescent="0.25">
      <c r="A2" s="85" t="s">
        <v>21</v>
      </c>
      <c r="B2" s="85"/>
      <c r="C2" s="85"/>
      <c r="D2" s="85"/>
      <c r="E2" s="85"/>
      <c r="F2" s="85"/>
      <c r="G2" s="85"/>
      <c r="H2" s="85"/>
    </row>
    <row r="3" spans="1:8" ht="15.75" customHeight="1" x14ac:dyDescent="0.25">
      <c r="A3" s="86" t="s">
        <v>41</v>
      </c>
      <c r="B3" s="87" t="s">
        <v>71</v>
      </c>
      <c r="C3" s="87" t="s">
        <v>20</v>
      </c>
      <c r="D3" s="87" t="s">
        <v>42</v>
      </c>
      <c r="E3" s="87" t="s">
        <v>43</v>
      </c>
      <c r="F3" s="88"/>
      <c r="G3" s="87" t="s">
        <v>8</v>
      </c>
      <c r="H3" s="87" t="s">
        <v>88</v>
      </c>
    </row>
    <row r="4" spans="1:8" ht="15.75" customHeight="1" x14ac:dyDescent="0.25">
      <c r="A4" s="89" t="s">
        <v>44</v>
      </c>
      <c r="B4" s="87" t="s">
        <v>45</v>
      </c>
      <c r="C4" s="87" t="s">
        <v>20</v>
      </c>
      <c r="D4" s="87" t="s">
        <v>46</v>
      </c>
      <c r="E4" s="87" t="s">
        <v>89</v>
      </c>
      <c r="F4" s="87"/>
      <c r="G4" s="87" t="s">
        <v>8</v>
      </c>
      <c r="H4" s="87" t="s">
        <v>88</v>
      </c>
    </row>
    <row r="5" spans="1:8" ht="15.75" customHeight="1" x14ac:dyDescent="0.25">
      <c r="A5" s="90" t="s">
        <v>48</v>
      </c>
      <c r="B5" s="87" t="s">
        <v>72</v>
      </c>
      <c r="C5" s="87" t="s">
        <v>20</v>
      </c>
      <c r="D5" s="87" t="s">
        <v>49</v>
      </c>
      <c r="E5" s="87" t="s">
        <v>90</v>
      </c>
      <c r="F5" s="87"/>
      <c r="G5" s="87" t="s">
        <v>8</v>
      </c>
      <c r="H5" s="87" t="s">
        <v>88</v>
      </c>
    </row>
    <row r="6" spans="1:8" ht="15.75" customHeight="1" x14ac:dyDescent="0.25"/>
    <row r="7" spans="1:8" ht="15.75" customHeight="1" x14ac:dyDescent="0.25"/>
    <row r="8" spans="1:8" ht="15.75" customHeight="1" x14ac:dyDescent="0.25"/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</sheetData>
  <mergeCells count="1">
    <mergeCell ref="A2:H2"/>
  </mergeCells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858"/>
  <sheetViews>
    <sheetView zoomScale="85" zoomScaleNormal="85" workbookViewId="0">
      <selection activeCell="D32" sqref="D32"/>
    </sheetView>
  </sheetViews>
  <sheetFormatPr baseColWidth="10" defaultColWidth="12.5546875" defaultRowHeight="15" customHeight="1" x14ac:dyDescent="0.25"/>
  <cols>
    <col min="1" max="1" width="12.44140625" customWidth="1"/>
    <col min="2" max="2" width="10.5546875" customWidth="1"/>
    <col min="3" max="3" width="31.33203125" customWidth="1"/>
    <col min="4" max="4" width="18.6640625" customWidth="1"/>
    <col min="5" max="5" width="57.33203125" customWidth="1"/>
    <col min="6" max="6" width="56.33203125" customWidth="1"/>
    <col min="7" max="7" width="13.6640625" customWidth="1"/>
    <col min="8" max="26" width="12.44140625" customWidth="1"/>
  </cols>
  <sheetData>
    <row r="1" spans="1:8" ht="15.75" customHeight="1" thickBot="1" x14ac:dyDescent="0.3">
      <c r="A1" s="37" t="s">
        <v>73</v>
      </c>
      <c r="B1" s="38"/>
      <c r="C1" s="38"/>
      <c r="D1" s="38"/>
      <c r="E1" s="38"/>
      <c r="F1" s="38"/>
      <c r="G1" s="38"/>
      <c r="H1" s="39"/>
    </row>
    <row r="2" spans="1:8" ht="15.75" customHeight="1" x14ac:dyDescent="0.25">
      <c r="A2" s="40" t="s">
        <v>9</v>
      </c>
      <c r="B2" s="41" t="s">
        <v>1</v>
      </c>
      <c r="C2" s="41" t="s">
        <v>2</v>
      </c>
      <c r="D2" s="41" t="s">
        <v>10</v>
      </c>
      <c r="E2" s="41" t="s">
        <v>11</v>
      </c>
      <c r="F2" s="41" t="s">
        <v>5</v>
      </c>
      <c r="G2" s="41" t="s">
        <v>12</v>
      </c>
      <c r="H2" s="42" t="s">
        <v>13</v>
      </c>
    </row>
    <row r="3" spans="1:8" ht="15.75" customHeight="1" x14ac:dyDescent="0.25">
      <c r="A3" s="43" t="s">
        <v>41</v>
      </c>
      <c r="B3" s="44" t="s">
        <v>71</v>
      </c>
      <c r="C3" s="44" t="s">
        <v>20</v>
      </c>
      <c r="D3" s="44" t="s">
        <v>42</v>
      </c>
      <c r="E3" s="44" t="s">
        <v>43</v>
      </c>
      <c r="F3" s="45"/>
      <c r="G3" s="46" t="s">
        <v>8</v>
      </c>
      <c r="H3" s="47" t="s">
        <v>33</v>
      </c>
    </row>
    <row r="4" spans="1:8" ht="15.75" customHeight="1" x14ac:dyDescent="0.25">
      <c r="A4" s="48"/>
      <c r="B4" s="49" t="s">
        <v>14</v>
      </c>
      <c r="C4" s="50"/>
      <c r="D4" s="50"/>
      <c r="E4" s="50"/>
      <c r="F4" s="49" t="s">
        <v>15</v>
      </c>
      <c r="G4" s="46"/>
      <c r="H4" s="51" t="s">
        <v>16</v>
      </c>
    </row>
    <row r="5" spans="1:8" ht="15.75" customHeight="1" x14ac:dyDescent="0.25">
      <c r="A5" s="52" t="s">
        <v>37</v>
      </c>
      <c r="B5" s="53" t="s">
        <v>74</v>
      </c>
      <c r="C5" s="53"/>
      <c r="D5" s="53"/>
      <c r="E5" s="53"/>
      <c r="F5" s="54" t="s">
        <v>35</v>
      </c>
      <c r="G5" s="46"/>
      <c r="H5" s="55" t="s">
        <v>66</v>
      </c>
    </row>
    <row r="6" spans="1:8" ht="15.75" customHeight="1" x14ac:dyDescent="0.25">
      <c r="A6" s="52" t="s">
        <v>38</v>
      </c>
      <c r="B6" s="53" t="s">
        <v>75</v>
      </c>
      <c r="C6" s="53"/>
      <c r="D6" s="53"/>
      <c r="E6" s="53"/>
      <c r="F6" s="54"/>
      <c r="G6" s="46"/>
      <c r="H6" s="55" t="s">
        <v>65</v>
      </c>
    </row>
    <row r="7" spans="1:8" ht="15.75" customHeight="1" x14ac:dyDescent="0.25">
      <c r="A7" s="52" t="s">
        <v>39</v>
      </c>
      <c r="B7" s="53" t="s">
        <v>76</v>
      </c>
      <c r="C7" s="53"/>
      <c r="D7" s="53"/>
      <c r="E7" s="53"/>
      <c r="F7" s="54"/>
      <c r="G7" s="46"/>
      <c r="H7" s="55" t="s">
        <v>65</v>
      </c>
    </row>
    <row r="8" spans="1:8" ht="15.75" customHeight="1" x14ac:dyDescent="0.25">
      <c r="A8" s="52" t="s">
        <v>40</v>
      </c>
      <c r="B8" s="53" t="s">
        <v>77</v>
      </c>
      <c r="C8" s="53"/>
      <c r="D8" s="53"/>
      <c r="E8" s="53"/>
      <c r="F8" s="54"/>
      <c r="G8" s="46"/>
      <c r="H8" s="55" t="s">
        <v>66</v>
      </c>
    </row>
    <row r="9" spans="1:8" ht="15.75" customHeight="1" x14ac:dyDescent="0.25">
      <c r="A9" s="56" t="s">
        <v>9</v>
      </c>
      <c r="B9" s="57" t="s">
        <v>1</v>
      </c>
      <c r="C9" s="57" t="s">
        <v>2</v>
      </c>
      <c r="D9" s="57" t="s">
        <v>10</v>
      </c>
      <c r="E9" s="57" t="s">
        <v>11</v>
      </c>
      <c r="F9" s="57" t="s">
        <v>5</v>
      </c>
      <c r="G9" s="57" t="s">
        <v>12</v>
      </c>
      <c r="H9" s="58" t="s">
        <v>13</v>
      </c>
    </row>
    <row r="10" spans="1:8" ht="15.75" customHeight="1" x14ac:dyDescent="0.25">
      <c r="A10" s="59" t="s">
        <v>44</v>
      </c>
      <c r="B10" s="60" t="s">
        <v>45</v>
      </c>
      <c r="C10" s="60" t="s">
        <v>20</v>
      </c>
      <c r="D10" s="60" t="s">
        <v>46</v>
      </c>
      <c r="E10" s="60" t="s">
        <v>47</v>
      </c>
      <c r="F10" s="60"/>
      <c r="G10" s="61" t="s">
        <v>8</v>
      </c>
      <c r="H10" s="62" t="s">
        <v>33</v>
      </c>
    </row>
    <row r="11" spans="1:8" ht="15.75" customHeight="1" x14ac:dyDescent="0.25">
      <c r="A11" s="63"/>
      <c r="B11" s="64" t="s">
        <v>14</v>
      </c>
      <c r="C11" s="65"/>
      <c r="D11" s="65"/>
      <c r="E11" s="65"/>
      <c r="F11" s="64" t="s">
        <v>15</v>
      </c>
      <c r="G11" s="61"/>
      <c r="H11" s="66" t="s">
        <v>16</v>
      </c>
    </row>
    <row r="12" spans="1:8" ht="15.75" customHeight="1" x14ac:dyDescent="0.25">
      <c r="A12" s="52" t="s">
        <v>55</v>
      </c>
      <c r="B12" s="67" t="s">
        <v>78</v>
      </c>
      <c r="C12" s="67"/>
      <c r="D12" s="67"/>
      <c r="E12" s="67"/>
      <c r="F12" s="54" t="s">
        <v>34</v>
      </c>
      <c r="G12" s="61"/>
      <c r="H12" s="55" t="s">
        <v>67</v>
      </c>
    </row>
    <row r="13" spans="1:8" ht="15.75" customHeight="1" x14ac:dyDescent="0.25">
      <c r="A13" s="52" t="s">
        <v>56</v>
      </c>
      <c r="B13" s="67" t="s">
        <v>79</v>
      </c>
      <c r="C13" s="67"/>
      <c r="D13" s="67"/>
      <c r="E13" s="67"/>
      <c r="F13" s="54"/>
      <c r="G13" s="61"/>
      <c r="H13" s="55" t="s">
        <v>67</v>
      </c>
    </row>
    <row r="14" spans="1:8" ht="15.75" customHeight="1" x14ac:dyDescent="0.25">
      <c r="A14" s="52" t="s">
        <v>57</v>
      </c>
      <c r="B14" s="67" t="s">
        <v>80</v>
      </c>
      <c r="C14" s="67"/>
      <c r="D14" s="67"/>
      <c r="E14" s="67"/>
      <c r="F14" s="54"/>
      <c r="G14" s="61"/>
      <c r="H14" s="55" t="s">
        <v>67</v>
      </c>
    </row>
    <row r="15" spans="1:8" ht="15.75" customHeight="1" x14ac:dyDescent="0.25">
      <c r="A15" s="52" t="s">
        <v>58</v>
      </c>
      <c r="B15" s="67" t="s">
        <v>81</v>
      </c>
      <c r="C15" s="67"/>
      <c r="D15" s="67"/>
      <c r="E15" s="67"/>
      <c r="F15" s="54"/>
      <c r="G15" s="61"/>
      <c r="H15" s="55" t="s">
        <v>67</v>
      </c>
    </row>
    <row r="16" spans="1:8" ht="15.75" customHeight="1" x14ac:dyDescent="0.25">
      <c r="A16" s="52" t="s">
        <v>59</v>
      </c>
      <c r="B16" s="67" t="s">
        <v>82</v>
      </c>
      <c r="C16" s="67"/>
      <c r="D16" s="67"/>
      <c r="E16" s="67"/>
      <c r="F16" s="54"/>
      <c r="G16" s="61"/>
      <c r="H16" s="55" t="s">
        <v>67</v>
      </c>
    </row>
    <row r="17" spans="1:8" ht="15.75" customHeight="1" x14ac:dyDescent="0.25">
      <c r="A17" s="68" t="s">
        <v>9</v>
      </c>
      <c r="B17" s="69" t="s">
        <v>1</v>
      </c>
      <c r="C17" s="69" t="s">
        <v>2</v>
      </c>
      <c r="D17" s="69" t="s">
        <v>10</v>
      </c>
      <c r="E17" s="69" t="s">
        <v>11</v>
      </c>
      <c r="F17" s="69" t="s">
        <v>5</v>
      </c>
      <c r="G17" s="69" t="s">
        <v>12</v>
      </c>
      <c r="H17" s="70" t="s">
        <v>13</v>
      </c>
    </row>
    <row r="18" spans="1:8" ht="15.75" customHeight="1" x14ac:dyDescent="0.25">
      <c r="A18" s="71" t="s">
        <v>48</v>
      </c>
      <c r="B18" s="72" t="s">
        <v>72</v>
      </c>
      <c r="C18" s="72" t="s">
        <v>20</v>
      </c>
      <c r="D18" s="72" t="s">
        <v>69</v>
      </c>
      <c r="E18" s="73" t="s">
        <v>70</v>
      </c>
      <c r="F18" s="72"/>
      <c r="G18" s="74" t="s">
        <v>8</v>
      </c>
      <c r="H18" s="75" t="s">
        <v>33</v>
      </c>
    </row>
    <row r="19" spans="1:8" ht="15.75" customHeight="1" x14ac:dyDescent="0.25">
      <c r="A19" s="63"/>
      <c r="B19" s="76" t="s">
        <v>14</v>
      </c>
      <c r="C19" s="77"/>
      <c r="D19" s="77"/>
      <c r="E19" s="77"/>
      <c r="F19" s="76" t="s">
        <v>15</v>
      </c>
      <c r="G19" s="74"/>
      <c r="H19" s="78" t="s">
        <v>16</v>
      </c>
    </row>
    <row r="20" spans="1:8" ht="15.75" customHeight="1" x14ac:dyDescent="0.25">
      <c r="A20" s="52" t="s">
        <v>60</v>
      </c>
      <c r="B20" s="67" t="s">
        <v>83</v>
      </c>
      <c r="C20" s="67"/>
      <c r="D20" s="67"/>
      <c r="E20" s="67"/>
      <c r="F20" s="54" t="s">
        <v>36</v>
      </c>
      <c r="G20" s="74"/>
      <c r="H20" s="55" t="s">
        <v>68</v>
      </c>
    </row>
    <row r="21" spans="1:8" ht="15.75" customHeight="1" x14ac:dyDescent="0.25">
      <c r="A21" s="52" t="s">
        <v>61</v>
      </c>
      <c r="B21" s="67" t="s">
        <v>84</v>
      </c>
      <c r="C21" s="67"/>
      <c r="D21" s="67"/>
      <c r="E21" s="67"/>
      <c r="F21" s="54"/>
      <c r="G21" s="74"/>
      <c r="H21" s="55" t="s">
        <v>67</v>
      </c>
    </row>
    <row r="22" spans="1:8" ht="15.75" customHeight="1" x14ac:dyDescent="0.25">
      <c r="A22" s="52" t="s">
        <v>62</v>
      </c>
      <c r="B22" s="67" t="s">
        <v>85</v>
      </c>
      <c r="C22" s="67"/>
      <c r="D22" s="67"/>
      <c r="E22" s="67"/>
      <c r="F22" s="54"/>
      <c r="G22" s="74"/>
      <c r="H22" s="55" t="s">
        <v>67</v>
      </c>
    </row>
    <row r="23" spans="1:8" ht="15.75" customHeight="1" x14ac:dyDescent="0.25">
      <c r="A23" s="52" t="s">
        <v>63</v>
      </c>
      <c r="B23" s="67" t="s">
        <v>86</v>
      </c>
      <c r="C23" s="67"/>
      <c r="D23" s="67"/>
      <c r="E23" s="67"/>
      <c r="F23" s="54"/>
      <c r="G23" s="74"/>
      <c r="H23" s="55" t="s">
        <v>68</v>
      </c>
    </row>
    <row r="24" spans="1:8" ht="15.75" customHeight="1" thickBot="1" x14ac:dyDescent="0.3">
      <c r="A24" s="79" t="s">
        <v>64</v>
      </c>
      <c r="B24" s="80" t="s">
        <v>87</v>
      </c>
      <c r="C24" s="80"/>
      <c r="D24" s="80"/>
      <c r="E24" s="80"/>
      <c r="F24" s="81"/>
      <c r="G24" s="82"/>
      <c r="H24" s="83" t="s">
        <v>68</v>
      </c>
    </row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</sheetData>
  <mergeCells count="21">
    <mergeCell ref="G18:G24"/>
    <mergeCell ref="B20:E20"/>
    <mergeCell ref="F20:F23"/>
    <mergeCell ref="B21:E21"/>
    <mergeCell ref="B22:E22"/>
    <mergeCell ref="B23:E23"/>
    <mergeCell ref="B24:E24"/>
    <mergeCell ref="G10:G16"/>
    <mergeCell ref="B12:E12"/>
    <mergeCell ref="F12:F16"/>
    <mergeCell ref="B13:E13"/>
    <mergeCell ref="B14:E14"/>
    <mergeCell ref="B15:E15"/>
    <mergeCell ref="B16:E16"/>
    <mergeCell ref="A1:H1"/>
    <mergeCell ref="G3:G8"/>
    <mergeCell ref="B5:E5"/>
    <mergeCell ref="F5:F8"/>
    <mergeCell ref="B6:E6"/>
    <mergeCell ref="B7:E7"/>
    <mergeCell ref="B8:E8"/>
  </mergeCells>
  <phoneticPr fontId="4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985"/>
  <sheetViews>
    <sheetView tabSelected="1" zoomScale="55" zoomScaleNormal="55" workbookViewId="0">
      <selection activeCell="E41" sqref="E41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19" width="12.44140625" customWidth="1"/>
  </cols>
  <sheetData>
    <row r="1" spans="1:20" ht="15.75" customHeight="1" thickBot="1" x14ac:dyDescent="0.3"/>
    <row r="2" spans="1:20" ht="15.75" customHeight="1" x14ac:dyDescent="0.25">
      <c r="A2" s="14">
        <v>1</v>
      </c>
      <c r="B2" s="15"/>
      <c r="C2" s="16" t="s">
        <v>73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7"/>
    </row>
    <row r="3" spans="1:20" ht="15.75" customHeight="1" x14ac:dyDescent="0.25">
      <c r="A3" s="18"/>
      <c r="B3" s="19"/>
      <c r="C3" s="20" t="s">
        <v>16</v>
      </c>
      <c r="D3" s="20" t="s">
        <v>50</v>
      </c>
      <c r="E3" s="20" t="s">
        <v>51</v>
      </c>
      <c r="F3" s="20" t="s">
        <v>52</v>
      </c>
      <c r="G3" s="20" t="s">
        <v>53</v>
      </c>
      <c r="H3" s="20" t="s">
        <v>54</v>
      </c>
      <c r="I3" s="20" t="s">
        <v>22</v>
      </c>
      <c r="J3" s="20" t="s">
        <v>23</v>
      </c>
      <c r="K3" s="20" t="s">
        <v>24</v>
      </c>
      <c r="L3" s="20" t="s">
        <v>25</v>
      </c>
      <c r="M3" s="20" t="s">
        <v>26</v>
      </c>
      <c r="N3" s="20" t="s">
        <v>27</v>
      </c>
      <c r="O3" s="20" t="s">
        <v>28</v>
      </c>
      <c r="P3" s="20" t="s">
        <v>29</v>
      </c>
      <c r="Q3" s="20" t="s">
        <v>30</v>
      </c>
      <c r="R3" s="20" t="s">
        <v>31</v>
      </c>
      <c r="S3" s="21" t="s">
        <v>32</v>
      </c>
      <c r="T3" s="2" t="s">
        <v>17</v>
      </c>
    </row>
    <row r="4" spans="1:20" ht="15.75" customHeight="1" x14ac:dyDescent="0.25">
      <c r="A4" s="22" t="s">
        <v>41</v>
      </c>
      <c r="B4" s="23" t="s">
        <v>37</v>
      </c>
      <c r="C4" s="24" t="s">
        <v>66</v>
      </c>
      <c r="D4" s="8">
        <v>1</v>
      </c>
      <c r="E4" s="8">
        <v>0</v>
      </c>
      <c r="F4" s="8">
        <v>0</v>
      </c>
      <c r="G4" s="8">
        <v>0</v>
      </c>
      <c r="H4" s="8">
        <v>0</v>
      </c>
      <c r="I4" s="8">
        <v>1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25">
        <v>0</v>
      </c>
      <c r="T4" s="4">
        <f>SUM(D4:S4)</f>
        <v>2</v>
      </c>
    </row>
    <row r="5" spans="1:20" ht="15.75" customHeight="1" x14ac:dyDescent="0.25">
      <c r="A5" s="22"/>
      <c r="B5" s="23" t="s">
        <v>38</v>
      </c>
      <c r="C5" s="24" t="s">
        <v>65</v>
      </c>
      <c r="D5" s="8">
        <v>0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25">
        <v>0</v>
      </c>
      <c r="T5" s="4">
        <f>SUM(D5:S5)</f>
        <v>1</v>
      </c>
    </row>
    <row r="6" spans="1:20" ht="15.75" customHeight="1" x14ac:dyDescent="0.25">
      <c r="A6" s="22"/>
      <c r="B6" s="23" t="s">
        <v>39</v>
      </c>
      <c r="C6" s="24" t="s">
        <v>65</v>
      </c>
      <c r="D6" s="8">
        <v>0</v>
      </c>
      <c r="E6" s="8">
        <v>0</v>
      </c>
      <c r="F6" s="8">
        <v>1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25">
        <v>0</v>
      </c>
      <c r="T6" s="4">
        <f>SUM(D6:S6)</f>
        <v>1</v>
      </c>
    </row>
    <row r="7" spans="1:20" ht="15.75" customHeight="1" x14ac:dyDescent="0.25">
      <c r="A7" s="22"/>
      <c r="B7" s="23" t="s">
        <v>40</v>
      </c>
      <c r="C7" s="24" t="s">
        <v>66</v>
      </c>
      <c r="D7" s="8">
        <v>1</v>
      </c>
      <c r="E7" s="8">
        <v>0</v>
      </c>
      <c r="F7" s="8">
        <v>0</v>
      </c>
      <c r="G7" s="8">
        <v>1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25">
        <v>0</v>
      </c>
      <c r="T7" s="4">
        <f>SUM(D7:S7)</f>
        <v>2</v>
      </c>
    </row>
    <row r="8" spans="1:20" ht="15.75" customHeight="1" x14ac:dyDescent="0.25">
      <c r="A8" s="26"/>
      <c r="B8" s="27"/>
      <c r="C8" s="1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25"/>
      <c r="T8" s="12"/>
    </row>
    <row r="9" spans="1:20" ht="15.75" customHeight="1" x14ac:dyDescent="0.25">
      <c r="A9" s="28" t="s">
        <v>44</v>
      </c>
      <c r="B9" s="23" t="s">
        <v>55</v>
      </c>
      <c r="C9" s="24" t="s">
        <v>67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1</v>
      </c>
      <c r="K9" s="8">
        <v>1</v>
      </c>
      <c r="L9" s="8">
        <v>1</v>
      </c>
      <c r="M9" s="8">
        <v>1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25">
        <v>0</v>
      </c>
      <c r="T9" s="4">
        <f>SUM(D9:S9)</f>
        <v>4</v>
      </c>
    </row>
    <row r="10" spans="1:20" ht="15.75" customHeight="1" x14ac:dyDescent="0.25">
      <c r="A10" s="28"/>
      <c r="B10" s="23" t="s">
        <v>56</v>
      </c>
      <c r="C10" s="24" t="s">
        <v>67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1</v>
      </c>
      <c r="L10" s="8">
        <v>1</v>
      </c>
      <c r="M10" s="8">
        <v>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25">
        <v>0</v>
      </c>
      <c r="T10" s="4">
        <f>SUM(D10:S10)</f>
        <v>4</v>
      </c>
    </row>
    <row r="11" spans="1:20" ht="15.75" customHeight="1" x14ac:dyDescent="0.25">
      <c r="A11" s="28"/>
      <c r="B11" s="23" t="s">
        <v>57</v>
      </c>
      <c r="C11" s="24" t="s">
        <v>67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1</v>
      </c>
      <c r="K11" s="8">
        <v>1</v>
      </c>
      <c r="L11" s="8">
        <v>1</v>
      </c>
      <c r="M11" s="8">
        <v>1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25">
        <v>0</v>
      </c>
      <c r="T11" s="4">
        <f>SUM(D11:S11)</f>
        <v>4</v>
      </c>
    </row>
    <row r="12" spans="1:20" ht="15.75" customHeight="1" x14ac:dyDescent="0.25">
      <c r="A12" s="28"/>
      <c r="B12" s="23" t="s">
        <v>58</v>
      </c>
      <c r="C12" s="24" t="s">
        <v>67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</v>
      </c>
      <c r="K12" s="8">
        <v>1</v>
      </c>
      <c r="L12" s="8">
        <v>1</v>
      </c>
      <c r="M12" s="8">
        <v>1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25">
        <v>0</v>
      </c>
      <c r="T12" s="4">
        <f>SUM(D12:S12)</f>
        <v>4</v>
      </c>
    </row>
    <row r="13" spans="1:20" ht="15.75" customHeight="1" x14ac:dyDescent="0.25">
      <c r="A13" s="28"/>
      <c r="B13" s="29" t="s">
        <v>59</v>
      </c>
      <c r="C13" s="24" t="s">
        <v>67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</v>
      </c>
      <c r="K13" s="8">
        <v>1</v>
      </c>
      <c r="L13" s="8">
        <v>1</v>
      </c>
      <c r="M13" s="8">
        <v>1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25">
        <v>0</v>
      </c>
      <c r="T13" s="4">
        <f>SUM(D13:S13)</f>
        <v>4</v>
      </c>
    </row>
    <row r="14" spans="1:20" ht="15.75" customHeight="1" x14ac:dyDescent="0.25">
      <c r="A14" s="26"/>
      <c r="B14" s="13"/>
      <c r="C14" s="30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25"/>
    </row>
    <row r="15" spans="1:20" ht="15.75" customHeight="1" x14ac:dyDescent="0.25">
      <c r="A15" s="31" t="s">
        <v>48</v>
      </c>
      <c r="B15" s="23" t="s">
        <v>60</v>
      </c>
      <c r="C15" s="24" t="s">
        <v>68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2</v>
      </c>
      <c r="O15" s="8">
        <v>0</v>
      </c>
      <c r="P15" s="8">
        <v>1</v>
      </c>
      <c r="Q15" s="8">
        <v>0</v>
      </c>
      <c r="R15" s="8">
        <v>1</v>
      </c>
      <c r="S15" s="25">
        <v>1</v>
      </c>
      <c r="T15" s="4">
        <f>SUM(D15:S15)</f>
        <v>5</v>
      </c>
    </row>
    <row r="16" spans="1:20" ht="15.75" customHeight="1" x14ac:dyDescent="0.25">
      <c r="A16" s="31"/>
      <c r="B16" s="23" t="s">
        <v>61</v>
      </c>
      <c r="C16" s="24" t="s">
        <v>67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1</v>
      </c>
      <c r="O16" s="8">
        <v>0</v>
      </c>
      <c r="P16" s="8">
        <v>1</v>
      </c>
      <c r="Q16" s="8">
        <v>1</v>
      </c>
      <c r="R16" s="8">
        <v>0</v>
      </c>
      <c r="S16" s="25">
        <v>1</v>
      </c>
      <c r="T16" s="4">
        <f>SUM(D16:S16)</f>
        <v>4</v>
      </c>
    </row>
    <row r="17" spans="1:20" ht="15.75" customHeight="1" x14ac:dyDescent="0.25">
      <c r="A17" s="31"/>
      <c r="B17" s="23" t="s">
        <v>62</v>
      </c>
      <c r="C17" s="24" t="s">
        <v>67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1</v>
      </c>
      <c r="P17" s="8">
        <v>0</v>
      </c>
      <c r="Q17" s="8">
        <v>1</v>
      </c>
      <c r="R17" s="8">
        <v>0</v>
      </c>
      <c r="S17" s="25">
        <v>1</v>
      </c>
      <c r="T17" s="4">
        <f>SUM(D17:S17)</f>
        <v>4</v>
      </c>
    </row>
    <row r="18" spans="1:20" ht="15.75" customHeight="1" x14ac:dyDescent="0.25">
      <c r="A18" s="31"/>
      <c r="B18" s="23" t="s">
        <v>63</v>
      </c>
      <c r="C18" s="24" t="s">
        <v>68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1</v>
      </c>
      <c r="O18" s="8">
        <v>1</v>
      </c>
      <c r="P18" s="8">
        <v>1</v>
      </c>
      <c r="Q18" s="8">
        <v>1</v>
      </c>
      <c r="R18" s="8">
        <v>0</v>
      </c>
      <c r="S18" s="25">
        <v>1</v>
      </c>
      <c r="T18" s="4">
        <f>SUM(D18:S18)</f>
        <v>5</v>
      </c>
    </row>
    <row r="19" spans="1:20" ht="15.75" customHeight="1" thickBot="1" x14ac:dyDescent="0.3">
      <c r="A19" s="32"/>
      <c r="B19" s="33" t="s">
        <v>64</v>
      </c>
      <c r="C19" s="34" t="s">
        <v>68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1</v>
      </c>
      <c r="O19" s="35">
        <v>1</v>
      </c>
      <c r="P19" s="35">
        <v>1</v>
      </c>
      <c r="Q19" s="35">
        <v>0</v>
      </c>
      <c r="R19" s="35">
        <v>1</v>
      </c>
      <c r="S19" s="36">
        <v>1</v>
      </c>
      <c r="T19" s="4">
        <f>SUM(D19:S19)</f>
        <v>5</v>
      </c>
    </row>
    <row r="20" spans="1:20" ht="15.75" customHeight="1" x14ac:dyDescent="0.25">
      <c r="C20" s="10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20" ht="15.75" customHeight="1" x14ac:dyDescent="0.25">
      <c r="C21" s="10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0" ht="15.75" customHeight="1" x14ac:dyDescent="0.25">
      <c r="C22" s="10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20" ht="15.75" customHeight="1" x14ac:dyDescent="0.25">
      <c r="C23" s="1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20" ht="15.75" customHeight="1" x14ac:dyDescent="0.25">
      <c r="C24" s="10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0" ht="15.75" customHeight="1" x14ac:dyDescent="0.25"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8"/>
    </row>
    <row r="26" spans="1:20" ht="15.75" customHeight="1" x14ac:dyDescent="0.25">
      <c r="B26" s="1"/>
    </row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spans="3:21" ht="15.75" customHeight="1" x14ac:dyDescent="0.25"/>
    <row r="50" spans="3:21" ht="15.75" customHeight="1" x14ac:dyDescent="0.25"/>
    <row r="51" spans="3:21" ht="15.75" customHeight="1" x14ac:dyDescent="0.25"/>
    <row r="52" spans="3:21" ht="15.75" customHeight="1" x14ac:dyDescent="0.25"/>
    <row r="53" spans="3:21" ht="15.75" customHeight="1" x14ac:dyDescent="0.25"/>
    <row r="54" spans="3:21" ht="15.75" customHeight="1" x14ac:dyDescent="0.25"/>
    <row r="55" spans="3:21" ht="15.75" customHeight="1" x14ac:dyDescent="0.25">
      <c r="C55" s="5" t="s">
        <v>18</v>
      </c>
      <c r="D55">
        <f>SUM(C4:C19)</f>
        <v>0</v>
      </c>
      <c r="E55" s="2">
        <f>D55-SUM(D4:D7,D9:D13,D15:D19)</f>
        <v>-2</v>
      </c>
      <c r="F55" s="2">
        <f>E55-SUM(E4:E7,E9:E13,E15:E19)</f>
        <v>-3</v>
      </c>
      <c r="G55" s="2">
        <f>F55-SUM(F4:F7,F9:F13,F15:F19)</f>
        <v>-4</v>
      </c>
      <c r="H55" s="2">
        <f>G55-SUM(G4:G7,G9:G13,G15:G19)</f>
        <v>-5</v>
      </c>
      <c r="I55" s="2">
        <f>H55-SUM(H4:H19)</f>
        <v>-5</v>
      </c>
      <c r="J55" s="2">
        <f>I55-SUM(I4:I19)</f>
        <v>-6</v>
      </c>
      <c r="K55" s="2">
        <f>J55-SUM(J4:J19)</f>
        <v>-11</v>
      </c>
      <c r="L55" s="2">
        <f>K55-SUM(K4:K19)</f>
        <v>-16</v>
      </c>
      <c r="M55" s="2">
        <f>L55-SUM(L4:L19)</f>
        <v>-21</v>
      </c>
      <c r="N55" s="2">
        <f>M55-SUM(M4:M19)</f>
        <v>-26</v>
      </c>
      <c r="O55" s="2">
        <f>N55-SUM(N4:N7,N8:N10,N11:N13,N15:N17, N18:N19, B2, B4,B5,B3)</f>
        <v>-32</v>
      </c>
      <c r="P55" s="2">
        <f>O55-SUM(O4:O19,O8:O9,O11:O13,O15:O16, O18:O19, C2, C4,C5,C3)</f>
        <v>-37</v>
      </c>
      <c r="Q55" s="2">
        <f>P55-SUM(P4:P19,P8:P9,P11:P13,P15:P16, P18:P19, D2, D4,D5,D3)</f>
        <v>-46</v>
      </c>
      <c r="R55" s="2">
        <f>Q55-SUM(Q4:Q19,Q8:Q9,Q11:Q13,Q15:Q16, Q18:Q19, E2, E4,E5,E3)</f>
        <v>-52</v>
      </c>
      <c r="S55" s="2">
        <f>R55-SUM(R4:R19,R8:R9,R11:R13,R15:R16, R18:R19, F2, F4,F5,F3)</f>
        <v>-56</v>
      </c>
      <c r="T55" s="2">
        <f>S55-SUM(S4:S19,S8:S9,S11:S13,S15:S16, S18:S19, G2, G4,G5,G3)</f>
        <v>-65</v>
      </c>
      <c r="U55" s="4">
        <f>SUM(E55:T55)</f>
        <v>-387</v>
      </c>
    </row>
    <row r="56" spans="3:21" ht="15.75" customHeight="1" x14ac:dyDescent="0.25">
      <c r="C56" s="5" t="s">
        <v>19</v>
      </c>
      <c r="D56">
        <f>SUM(C4:C19)</f>
        <v>0</v>
      </c>
      <c r="E56" s="7">
        <f>D56-(SUM(C4:C7,C9:C13,C15:C19)/30)</f>
        <v>0</v>
      </c>
      <c r="F56" s="7">
        <f>G63-(SUM(C4:C7,C9:C13,C15:C19)/30)</f>
        <v>0</v>
      </c>
      <c r="G56" s="7">
        <f>F56-(SUM(C4:C7,C9:C13,C15:C19)/30)</f>
        <v>0</v>
      </c>
      <c r="H56" s="7">
        <f>G56-(SUM(C4:C7,C9:C13,C15:C19)/30)</f>
        <v>0</v>
      </c>
      <c r="I56" s="7">
        <f>H56-(SUM(C4:C7,C9:C13,C15:C19)/30)</f>
        <v>0</v>
      </c>
      <c r="J56" s="7">
        <f>I56-(SUM(C4:C7,C9:C13,C15:C19)/30)</f>
        <v>0</v>
      </c>
      <c r="K56" s="7">
        <f>J56-(SUM(C4:C7,C9:C13,C15:C19)/30)</f>
        <v>0</v>
      </c>
      <c r="L56" s="7">
        <f>K56-(SUM(C4:C7,C9:C13,C15:C19)/30)</f>
        <v>0</v>
      </c>
      <c r="M56" s="7">
        <f>L56-(SUM(C4:C7,C9:C13,C15:C19)/30)</f>
        <v>0</v>
      </c>
      <c r="N56" s="7">
        <f>M56-(SUM(C4:C7,C9:C13,C15:C19)/30)</f>
        <v>0</v>
      </c>
      <c r="O56" s="7">
        <f>N56-(SUM(C4:C7,C9:C13,C15:C19)/30)</f>
        <v>0</v>
      </c>
      <c r="P56" s="7">
        <f>O56-(SUM(C4:C7,C9:C13,C15:C19)/30)</f>
        <v>0</v>
      </c>
      <c r="Q56" s="7">
        <f>P56-(SUM(C4:C7,C9:C13,C15:C19)/30)</f>
        <v>0</v>
      </c>
      <c r="R56" s="7">
        <f>Q56-(SUM(C4:C7,C9:C13,C15:C19)/30)</f>
        <v>0</v>
      </c>
      <c r="S56" s="7">
        <f>R56-(SUM(C4:C7,C9:C13,C15:C19)/30)</f>
        <v>0</v>
      </c>
      <c r="T56" s="7">
        <f>S56-(SUM(C4:C7,C9:C13,C15:C19)/30)</f>
        <v>0</v>
      </c>
      <c r="U56" s="4">
        <f>SUM(E56:T56)</f>
        <v>0</v>
      </c>
    </row>
    <row r="57" spans="3:21" ht="15.75" customHeight="1" x14ac:dyDescent="0.25"/>
    <row r="58" spans="3:21" ht="15.75" customHeight="1" x14ac:dyDescent="0.25"/>
    <row r="59" spans="3:21" ht="15.75" customHeight="1" x14ac:dyDescent="0.25"/>
    <row r="60" spans="3:21" ht="15.75" customHeight="1" x14ac:dyDescent="0.25">
      <c r="C60" s="6"/>
      <c r="D60" s="2"/>
      <c r="E60" s="2"/>
      <c r="F60" s="2"/>
      <c r="G60" s="2"/>
      <c r="H60" s="2"/>
      <c r="I60" s="2"/>
    </row>
    <row r="61" spans="3:21" ht="15.75" customHeight="1" x14ac:dyDescent="0.25"/>
    <row r="62" spans="3:21" ht="15.75" customHeight="1" x14ac:dyDescent="0.25">
      <c r="C62" s="6"/>
      <c r="D62" s="2"/>
      <c r="E62" s="2"/>
      <c r="F62" s="2"/>
      <c r="G62" s="2"/>
      <c r="H62" s="2"/>
      <c r="I62" s="2"/>
    </row>
    <row r="63" spans="3:21" ht="15.75" customHeight="1" x14ac:dyDescent="0.25">
      <c r="C63" s="6"/>
      <c r="D63" s="2"/>
      <c r="E63" s="2"/>
      <c r="F63" s="2"/>
      <c r="G63" s="2"/>
      <c r="H63" s="2"/>
      <c r="I63" s="2"/>
    </row>
    <row r="64" spans="3:21" ht="15.75" customHeight="1" x14ac:dyDescent="0.25"/>
    <row r="65" spans="3:8" ht="15.75" customHeight="1" x14ac:dyDescent="0.25">
      <c r="C65" s="9"/>
      <c r="D65" s="9"/>
      <c r="E65" s="9"/>
      <c r="F65" s="9"/>
      <c r="G65" s="9"/>
      <c r="H65" s="9"/>
    </row>
    <row r="66" spans="3:8" ht="15.75" customHeight="1" x14ac:dyDescent="0.25">
      <c r="C66" s="9"/>
      <c r="D66" s="9"/>
      <c r="E66" s="9"/>
      <c r="F66" s="9"/>
      <c r="G66" s="9"/>
      <c r="H66" s="9"/>
    </row>
    <row r="67" spans="3:8" ht="15.75" customHeight="1" x14ac:dyDescent="0.25">
      <c r="C67" s="9"/>
      <c r="D67" s="9"/>
      <c r="E67" s="9"/>
      <c r="F67" s="9"/>
      <c r="G67" s="9"/>
      <c r="H67" s="9"/>
    </row>
    <row r="68" spans="3:8" ht="15.75" customHeight="1" x14ac:dyDescent="0.25">
      <c r="C68" s="9"/>
      <c r="D68" s="9"/>
      <c r="E68" s="9"/>
      <c r="F68" s="9"/>
      <c r="G68" s="9"/>
      <c r="H68" s="9"/>
    </row>
    <row r="69" spans="3:8" ht="15.75" customHeight="1" x14ac:dyDescent="0.25">
      <c r="C69" s="9"/>
      <c r="D69" s="9"/>
      <c r="E69" s="9"/>
      <c r="F69" s="9"/>
      <c r="G69" s="9"/>
      <c r="H69" s="9"/>
    </row>
    <row r="70" spans="3:8" ht="15.75" customHeight="1" x14ac:dyDescent="0.25">
      <c r="C70" s="9"/>
      <c r="D70" s="9"/>
      <c r="E70" s="9"/>
      <c r="F70" s="9"/>
      <c r="G70" s="9"/>
      <c r="H70" s="9"/>
    </row>
    <row r="71" spans="3:8" ht="15.75" customHeight="1" x14ac:dyDescent="0.25">
      <c r="C71" s="9"/>
      <c r="D71" s="9"/>
      <c r="E71" s="9"/>
      <c r="F71" s="9"/>
      <c r="G71" s="9"/>
      <c r="H71" s="9"/>
    </row>
    <row r="72" spans="3:8" ht="15.75" customHeight="1" x14ac:dyDescent="0.25">
      <c r="C72" s="9"/>
      <c r="D72" s="9"/>
      <c r="E72" s="9"/>
      <c r="F72" s="9"/>
      <c r="G72" s="9"/>
      <c r="H72" s="9"/>
    </row>
    <row r="73" spans="3:8" ht="15.75" customHeight="1" x14ac:dyDescent="0.25"/>
    <row r="74" spans="3:8" ht="15.75" customHeight="1" x14ac:dyDescent="0.25"/>
    <row r="75" spans="3:8" ht="15.75" customHeight="1" x14ac:dyDescent="0.25"/>
    <row r="76" spans="3:8" ht="15.75" customHeight="1" x14ac:dyDescent="0.25"/>
    <row r="77" spans="3:8" ht="15.75" customHeight="1" x14ac:dyDescent="0.25"/>
    <row r="78" spans="3:8" ht="15.75" customHeight="1" x14ac:dyDescent="0.25"/>
    <row r="79" spans="3:8" ht="15.75" customHeight="1" x14ac:dyDescent="0.25"/>
    <row r="80" spans="3:8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5">
    <mergeCell ref="A2:B3"/>
    <mergeCell ref="C2:S2"/>
    <mergeCell ref="A4:A7"/>
    <mergeCell ref="A9:A13"/>
    <mergeCell ref="A15:A19"/>
  </mergeCells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Cristian Becerra</cp:lastModifiedBy>
  <dcterms:created xsi:type="dcterms:W3CDTF">2023-06-05T13:12:31Z</dcterms:created>
  <dcterms:modified xsi:type="dcterms:W3CDTF">2026-01-29T23:22:59Z</dcterms:modified>
</cp:coreProperties>
</file>