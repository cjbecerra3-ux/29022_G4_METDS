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alej\Downloads\"/>
    </mc:Choice>
  </mc:AlternateContent>
  <xr:revisionPtr revIDLastSave="0" documentId="13_ncr:1_{1A328B7A-B759-4A81-84A8-900C16539261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BACKLOG" sheetId="1" r:id="rId1"/>
    <sheet name="SPRINT" sheetId="2" r:id="rId2"/>
    <sheet name="BURDONCHART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3" l="1"/>
  <c r="D27" i="3" s="1"/>
  <c r="C26" i="3"/>
  <c r="D26" i="3" s="1"/>
  <c r="AH23" i="3"/>
  <c r="AH22" i="3"/>
  <c r="AH21" i="3"/>
  <c r="AH20" i="3"/>
  <c r="AH18" i="3"/>
  <c r="AH17" i="3"/>
  <c r="AH16" i="3"/>
  <c r="AH15" i="3"/>
  <c r="AH14" i="3"/>
  <c r="AH12" i="3"/>
  <c r="AH11" i="3"/>
  <c r="AH10" i="3"/>
  <c r="AH9" i="3"/>
  <c r="AH8" i="3"/>
  <c r="AH6" i="3"/>
  <c r="AH5" i="3"/>
  <c r="AH4" i="3"/>
  <c r="AH3" i="3"/>
  <c r="E26" i="3" l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E27" i="3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l="1"/>
  <c r="AH26" i="3"/>
</calcChain>
</file>

<file path=xl/sharedStrings.xml><?xml version="1.0" encoding="utf-8"?>
<sst xmlns="http://schemas.openxmlformats.org/spreadsheetml/2006/main" count="223" uniqueCount="121">
  <si>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</si>
  <si>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</si>
  <si>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</si>
  <si>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</si>
  <si>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</si>
  <si>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</si>
  <si>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</si>
  <si>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</si>
  <si>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</si>
  <si>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</si>
  <si>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</si>
  <si>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</si>
  <si>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</si>
  <si>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</si>
  <si>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</si>
  <si>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</si>
  <si>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</si>
  <si>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</si>
  <si>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Horas Estimadas</t>
  </si>
  <si>
    <t>Horas Estimadas
Restantes</t>
  </si>
  <si>
    <t>Administrador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</si>
  <si>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</si>
  <si>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</si>
  <si>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</si>
  <si>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</si>
  <si>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</si>
  <si>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</si>
  <si>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</si>
  <si>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</si>
  <si>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</si>
  <si>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</si>
  <si>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</si>
  <si>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</si>
  <si>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</si>
  <si>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</si>
  <si>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</si>
  <si>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</si>
  <si>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</si>
  <si>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</si>
  <si>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</si>
  <si>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</si>
  <si>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En proceso</t>
  </si>
  <si>
    <t>Ismael Silva</t>
  </si>
  <si>
    <t>Kevin Castillo</t>
  </si>
  <si>
    <t>Cristian Becerra</t>
  </si>
  <si>
    <t>RQ001-1</t>
  </si>
  <si>
    <t>RQ001-2</t>
  </si>
  <si>
    <t>RQ001-3</t>
  </si>
  <si>
    <t>RQ001-4</t>
  </si>
  <si>
    <t>Cada pedido debe mostrar detalles completos de la comanda</t>
  </si>
  <si>
    <t>RQ001</t>
  </si>
  <si>
    <t>Ingresar al sistema mediante credenciales</t>
  </si>
  <si>
    <t>Garantizar que solo usuarios autorizados accedan.</t>
  </si>
  <si>
    <t>SPRINT 2</t>
  </si>
  <si>
    <t>RQ002</t>
  </si>
  <si>
    <t>Gestión de Comandas</t>
  </si>
  <si>
    <t xml:space="preserve">Registrar comandas en una interfaz con el menu. </t>
  </si>
  <si>
    <t xml:space="preserve"> Reducir errores y agilizar la toma de pedidos.</t>
  </si>
  <si>
    <t>SPRINT 3</t>
  </si>
  <si>
    <t>RQ003</t>
  </si>
  <si>
    <t>Vizualizar las comandas y el estado en tiempo real.</t>
  </si>
  <si>
    <t>SPRINT 4</t>
  </si>
  <si>
    <t>RQ004</t>
  </si>
  <si>
    <t>Reportes Diarios</t>
  </si>
  <si>
    <t>Generar reportes con informacion relevante de las comandas.</t>
  </si>
  <si>
    <t xml:space="preserve"> Analizar los reportes diarios, para un mejor control de las comandas 
realizadas y sus totales.</t>
  </si>
  <si>
    <t xml:space="preserve"> Analizar los reportes diarios, para un mejor control de las comandas realizadas y sus totales.</t>
  </si>
  <si>
    <t>Día 1</t>
  </si>
  <si>
    <t>Día 2</t>
  </si>
  <si>
    <t>Día 3</t>
  </si>
  <si>
    <t>Día 4</t>
  </si>
  <si>
    <t>Día 5</t>
  </si>
  <si>
    <t>Dia 17</t>
  </si>
  <si>
    <t>Dia 26</t>
  </si>
  <si>
    <t>Dia 27</t>
  </si>
  <si>
    <t>Dia 28</t>
  </si>
  <si>
    <t>Dia 29</t>
  </si>
  <si>
    <t>Dia 30</t>
  </si>
  <si>
    <t>RQ002-1</t>
  </si>
  <si>
    <t>RQ002-2</t>
  </si>
  <si>
    <t>RQ002-3</t>
  </si>
  <si>
    <t>RQ002-4</t>
  </si>
  <si>
    <t>RQ002-5</t>
  </si>
  <si>
    <t>RQ003-1</t>
  </si>
  <si>
    <t>RQ004-1</t>
  </si>
  <si>
    <t>RQ003-2</t>
  </si>
  <si>
    <t>RQ003-3</t>
  </si>
  <si>
    <t>RQ003-4</t>
  </si>
  <si>
    <t>RQ003-5</t>
  </si>
  <si>
    <t>RQ004-2</t>
  </si>
  <si>
    <t>RQ004-3</t>
  </si>
  <si>
    <t>RQ004-4</t>
  </si>
  <si>
    <t>90min</t>
  </si>
  <si>
    <t xml:space="preserve">30min </t>
  </si>
  <si>
    <t>1h</t>
  </si>
  <si>
    <t>2h</t>
  </si>
  <si>
    <t>4h</t>
  </si>
  <si>
    <t>5h</t>
  </si>
  <si>
    <t>3h</t>
  </si>
  <si>
    <t>Visualizar las comandas y el estado en tiempo real.</t>
  </si>
  <si>
    <t xml:space="preserve"> Visualizar y tener un seguimiento del estado actual de la comanda. </t>
  </si>
  <si>
    <t>Inicio de sesión</t>
  </si>
  <si>
    <t>Visualización de Comandas</t>
  </si>
  <si>
    <t>El sistema debe validar que el usuario y la contraseña ingresados sean correctos</t>
  </si>
  <si>
    <t xml:space="preserve"> </t>
  </si>
  <si>
    <t>El campo de contraseña debe mostrarse enmascarado con asteriscos por seguridad (••••)</t>
  </si>
  <si>
    <t>El sistema debe mostrar el mensaje 'Credenciales incorrectas' cuando las credenciales sean inválidas</t>
  </si>
  <si>
    <t>El sistema debe bloquearse automáticamente por 30 segundos después de 3 intentos fallidos de inicio de sesión</t>
  </si>
  <si>
    <t>La pantalla debe mostrar dos secciones: "Pedidos en Proceso" en rojo y "Pedidos Listos" en verde</t>
  </si>
  <si>
    <t>El botón "Realizado" debe cambiar pedidos de "en proceso" a "Realizados"</t>
  </si>
  <si>
    <t>El botón "Generar reporte" debe mostrar el reporte en formato PDF</t>
  </si>
  <si>
    <t>La interfaz debe mostrar todos los productos con precios visibles y un selector de cantidades</t>
  </si>
  <si>
    <t>La comanda debe permitir recolectar datos del pedido, incluyendo nombre del cliente, platos, cantidades y precios</t>
  </si>
  <si>
    <t>La interfaz debe incluir un campo para comentarios o peticiones especiales del cliente</t>
  </si>
  <si>
    <t>El resumen debe mostrar la comanda con cálculo automático del precio total</t>
  </si>
  <si>
    <t>El botón de confirmación debe generar y guardar la comanda en la base de datos</t>
  </si>
  <si>
    <t>Los pedidos deben organizarse en orden de llegada</t>
  </si>
  <si>
    <t>Los cambios deben reflejarse en tiempo real al actualizar el estado</t>
  </si>
  <si>
    <t>El reporte debe generar un listado diario con platos vendidos, precios y cantidades</t>
  </si>
  <si>
    <t>El reporte debe calcular y mostrar el total general de ventas del día</t>
  </si>
  <si>
    <t>El reporte debe incluir datos de hora de cada comanda generada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</si>
</sst>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theme="4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b/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4" tint="-0.249977111117893"/>
      <name val="Arial"/>
      <family val="2"/>
      <scheme val="major"/>
    </font>
    <font>
      <sz val="10"/>
      <color theme="4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3" fillId="0" borderId="1" xfId="0" applyFont="1" applyBorder="1"/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3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4" borderId="0" xfId="0" applyFont="1" applyFill="1"/>
    <xf numFmtId="0" fontId="16" fillId="0" borderId="0" xfId="0" applyFont="1"/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6" borderId="0" xfId="0" applyFont="1" applyFill="1"/>
    <xf numFmtId="0" fontId="1" fillId="5" borderId="0" xfId="0" applyFont="1" applyFill="1" applyAlignment="1">
      <alignment horizontal="center"/>
    </xf>
    <xf numFmtId="0" fontId="3" fillId="7" borderId="0" xfId="0" applyFont="1" applyFill="1"/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6" borderId="0" xfId="0" applyFont="1" applyFill="1" applyAlignment="1">
      <alignment horizontal="center"/>
    </xf>
    <xf numFmtId="0" fontId="7" fillId="9" borderId="0" xfId="0" applyFont="1" applyFill="1"/>
    <xf numFmtId="0" fontId="9" fillId="9" borderId="0" xfId="0" applyFont="1" applyFill="1"/>
    <xf numFmtId="0" fontId="9" fillId="9" borderId="0" xfId="0" applyFont="1" applyFill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/>
    </xf>
    <xf numFmtId="0" fontId="9" fillId="12" borderId="0" xfId="0" applyFont="1" applyFill="1"/>
    <xf numFmtId="0" fontId="20" fillId="12" borderId="0" xfId="0" applyFont="1" applyFill="1"/>
    <xf numFmtId="0" fontId="3" fillId="13" borderId="0" xfId="0" applyFont="1" applyFill="1"/>
    <xf numFmtId="0" fontId="3" fillId="14" borderId="1" xfId="0" applyFont="1" applyFill="1" applyBorder="1" applyAlignment="1">
      <alignment horizontal="right"/>
    </xf>
    <xf numFmtId="0" fontId="7" fillId="7" borderId="0" xfId="0" applyFont="1" applyFill="1"/>
    <xf numFmtId="0" fontId="0" fillId="7" borderId="0" xfId="0" applyFill="1"/>
    <xf numFmtId="0" fontId="8" fillId="0" borderId="0" xfId="0" applyFont="1"/>
    <xf numFmtId="0" fontId="1" fillId="15" borderId="0" xfId="0" applyFont="1" applyFill="1" applyAlignment="1">
      <alignment horizontal="center"/>
    </xf>
    <xf numFmtId="0" fontId="18" fillId="16" borderId="0" xfId="0" applyFont="1" applyFill="1"/>
    <xf numFmtId="0" fontId="18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9" fillId="18" borderId="0" xfId="0" applyFont="1" applyFill="1"/>
    <xf numFmtId="0" fontId="7" fillId="18" borderId="0" xfId="0" applyFont="1" applyFill="1"/>
    <xf numFmtId="0" fontId="9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8" fillId="20" borderId="0" xfId="0" applyFont="1" applyFill="1" applyAlignment="1">
      <alignment vertical="center"/>
    </xf>
    <xf numFmtId="0" fontId="18" fillId="20" borderId="0" xfId="0" applyFont="1" applyFill="1" applyAlignment="1">
      <alignment vertical="center" wrapText="1"/>
    </xf>
    <xf numFmtId="0" fontId="18" fillId="20" borderId="0" xfId="0" applyFont="1" applyFill="1"/>
    <xf numFmtId="0" fontId="18" fillId="20" borderId="0" xfId="0" applyFont="1" applyFill="1" applyAlignment="1">
      <alignment horizontal="center" vertical="center"/>
    </xf>
    <xf numFmtId="0" fontId="9" fillId="21" borderId="0" xfId="0" applyFont="1" applyFill="1"/>
    <xf numFmtId="0" fontId="7" fillId="21" borderId="0" xfId="0" applyFont="1" applyFill="1"/>
    <xf numFmtId="0" fontId="9" fillId="21" borderId="0" xfId="0" applyFont="1" applyFill="1" applyAlignment="1">
      <alignment horizontal="center"/>
    </xf>
    <xf numFmtId="0" fontId="18" fillId="11" borderId="0" xfId="0" applyFont="1" applyFill="1"/>
    <xf numFmtId="0" fontId="19" fillId="11" borderId="0" xfId="0" applyFont="1" applyFill="1"/>
    <xf numFmtId="0" fontId="9" fillId="22" borderId="0" xfId="0" applyFont="1" applyFill="1"/>
    <xf numFmtId="0" fontId="7" fillId="22" borderId="0" xfId="0" applyFont="1" applyFill="1"/>
    <xf numFmtId="0" fontId="18" fillId="6" borderId="0" xfId="0" applyFont="1" applyFill="1" applyAlignment="1">
      <alignment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164" fontId="3" fillId="2" borderId="1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4040506982751072E-2"/>
          <c:y val="0.10597636451781475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BURDONCHART!$B$27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BURDONCHART!$C$27:$AG$27</c:f>
              <c:numCache>
                <c:formatCode>0.0</c:formatCode>
                <c:ptCount val="31"/>
                <c:pt idx="0" formatCode="General">
                  <c:v>62</c:v>
                </c:pt>
                <c:pt idx="1">
                  <c:v>60.31666666666667</c:v>
                </c:pt>
                <c:pt idx="2">
                  <c:v>58.63333333333334</c:v>
                </c:pt>
                <c:pt idx="3">
                  <c:v>56.95000000000001</c:v>
                </c:pt>
                <c:pt idx="4">
                  <c:v>55.26666666666668</c:v>
                </c:pt>
                <c:pt idx="5">
                  <c:v>53.58333333333335</c:v>
                </c:pt>
                <c:pt idx="6">
                  <c:v>51.90000000000002</c:v>
                </c:pt>
                <c:pt idx="7">
                  <c:v>50.21666666666669</c:v>
                </c:pt>
                <c:pt idx="8">
                  <c:v>48.53333333333336</c:v>
                </c:pt>
                <c:pt idx="9">
                  <c:v>46.85000000000003</c:v>
                </c:pt>
                <c:pt idx="10">
                  <c:v>45.1666666666667</c:v>
                </c:pt>
                <c:pt idx="11">
                  <c:v>43.48333333333337</c:v>
                </c:pt>
                <c:pt idx="12">
                  <c:v>41.80000000000004</c:v>
                </c:pt>
                <c:pt idx="13">
                  <c:v>40.11666666666671</c:v>
                </c:pt>
                <c:pt idx="14">
                  <c:v>38.43333333333338</c:v>
                </c:pt>
                <c:pt idx="15">
                  <c:v>36.75000000000005</c:v>
                </c:pt>
                <c:pt idx="16">
                  <c:v>35.06666666666672</c:v>
                </c:pt>
                <c:pt idx="17">
                  <c:v>33.38333333333339</c:v>
                </c:pt>
                <c:pt idx="18">
                  <c:v>31.700000000000056</c:v>
                </c:pt>
                <c:pt idx="19">
                  <c:v>30.016666666666723</c:v>
                </c:pt>
                <c:pt idx="20">
                  <c:v>28.333333333333389</c:v>
                </c:pt>
                <c:pt idx="21">
                  <c:v>26.650000000000055</c:v>
                </c:pt>
                <c:pt idx="22">
                  <c:v>24.966666666666722</c:v>
                </c:pt>
                <c:pt idx="23">
                  <c:v>23.283333333333388</c:v>
                </c:pt>
                <c:pt idx="24">
                  <c:v>21.600000000000055</c:v>
                </c:pt>
                <c:pt idx="25">
                  <c:v>19.916666666666721</c:v>
                </c:pt>
                <c:pt idx="26">
                  <c:v>18.233333333333388</c:v>
                </c:pt>
                <c:pt idx="27">
                  <c:v>16.550000000000054</c:v>
                </c:pt>
                <c:pt idx="28">
                  <c:v>14.86666666666672</c:v>
                </c:pt>
                <c:pt idx="29">
                  <c:v>13.183333333333387</c:v>
                </c:pt>
                <c:pt idx="30">
                  <c:v>11.500000000000053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BURDONCHART!$B$28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4040506982751072E-2"/>
          <c:y val="0.10597636451781475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[1]BURDONCHART!$B$27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[1]BURDONCHART!$C$27:$AG$27</c:f>
              <c:numCache>
                <c:formatCode>General</c:formatCode>
                <c:ptCount val="31"/>
                <c:pt idx="0">
                  <c:v>62</c:v>
                </c:pt>
                <c:pt idx="1">
                  <c:v>54</c:v>
                </c:pt>
                <c:pt idx="2">
                  <c:v>46</c:v>
                </c:pt>
                <c:pt idx="3">
                  <c:v>38</c:v>
                </c:pt>
                <c:pt idx="4">
                  <c:v>30</c:v>
                </c:pt>
                <c:pt idx="5">
                  <c:v>22</c:v>
                </c:pt>
                <c:pt idx="6">
                  <c:v>14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D-43A3-92E7-585B81D172DD}"/>
            </c:ext>
          </c:extLst>
        </c:ser>
        <c:ser>
          <c:idx val="1"/>
          <c:order val="1"/>
          <c:tx>
            <c:strRef>
              <c:f>[1]BURDONCHART!$B$28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[1]BURDONCHART!$C$28:$AG$28</c:f>
              <c:numCache>
                <c:formatCode>0.0</c:formatCode>
                <c:ptCount val="31"/>
                <c:pt idx="0" formatCode="General">
                  <c:v>62</c:v>
                </c:pt>
                <c:pt idx="1">
                  <c:v>60.266666666666666</c:v>
                </c:pt>
                <c:pt idx="2">
                  <c:v>58.533333333333331</c:v>
                </c:pt>
                <c:pt idx="3">
                  <c:v>56.8</c:v>
                </c:pt>
                <c:pt idx="4">
                  <c:v>55.066666666666663</c:v>
                </c:pt>
                <c:pt idx="5">
                  <c:v>53.333333333333329</c:v>
                </c:pt>
                <c:pt idx="6">
                  <c:v>51.599999999999994</c:v>
                </c:pt>
                <c:pt idx="7">
                  <c:v>49.86666666666666</c:v>
                </c:pt>
                <c:pt idx="8">
                  <c:v>48.133333333333326</c:v>
                </c:pt>
                <c:pt idx="9">
                  <c:v>46.399999999999991</c:v>
                </c:pt>
                <c:pt idx="10">
                  <c:v>44.666666666666657</c:v>
                </c:pt>
                <c:pt idx="11">
                  <c:v>42.933333333333323</c:v>
                </c:pt>
                <c:pt idx="12">
                  <c:v>41.199999999999989</c:v>
                </c:pt>
                <c:pt idx="13">
                  <c:v>39.466666666666654</c:v>
                </c:pt>
                <c:pt idx="14">
                  <c:v>37.73333333333332</c:v>
                </c:pt>
                <c:pt idx="15">
                  <c:v>35.999999999999986</c:v>
                </c:pt>
                <c:pt idx="16">
                  <c:v>34.266666666666652</c:v>
                </c:pt>
                <c:pt idx="17">
                  <c:v>32.533333333333317</c:v>
                </c:pt>
                <c:pt idx="18">
                  <c:v>30.799999999999983</c:v>
                </c:pt>
                <c:pt idx="19">
                  <c:v>29.066666666666649</c:v>
                </c:pt>
                <c:pt idx="20">
                  <c:v>27.333333333333314</c:v>
                </c:pt>
                <c:pt idx="21">
                  <c:v>25.59999999999998</c:v>
                </c:pt>
                <c:pt idx="22">
                  <c:v>23.866666666666646</c:v>
                </c:pt>
                <c:pt idx="23">
                  <c:v>22.133333333333312</c:v>
                </c:pt>
                <c:pt idx="24">
                  <c:v>20.399999999999977</c:v>
                </c:pt>
                <c:pt idx="25">
                  <c:v>18.666666666666643</c:v>
                </c:pt>
                <c:pt idx="26">
                  <c:v>16.933333333333309</c:v>
                </c:pt>
                <c:pt idx="27">
                  <c:v>15.199999999999974</c:v>
                </c:pt>
                <c:pt idx="28">
                  <c:v>13.46666666666664</c:v>
                </c:pt>
                <c:pt idx="29">
                  <c:v>11.733333333333306</c:v>
                </c:pt>
                <c:pt idx="30">
                  <c:v>9.9999999999999716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D-43A3-92E7-585B81D17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30</xdr:row>
      <xdr:rowOff>26444</xdr:rowOff>
    </xdr:from>
    <xdr:to>
      <xdr:col>16</xdr:col>
      <xdr:colOff>732081</xdr:colOff>
      <xdr:row>50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246557</xdr:colOff>
      <xdr:row>29</xdr:row>
      <xdr:rowOff>26444</xdr:rowOff>
    </xdr:from>
    <xdr:to>
      <xdr:col>16</xdr:col>
      <xdr:colOff>732081</xdr:colOff>
      <xdr:row>49</xdr:row>
      <xdr:rowOff>187169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E239B6-6300-4156-949C-8D30FF78E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4_Backlog_a5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LOG"/>
      <sheetName val="SPRINT"/>
      <sheetName val="BURDONCHART"/>
    </sheetNames>
    <sheetDataSet>
      <sheetData sheetId="0"/>
      <sheetData sheetId="1"/>
      <sheetData sheetId="2">
        <row r="27">
          <cell r="B27" t="str">
            <v>Horas Estimadas</v>
          </cell>
          <cell r="C27">
            <v>62</v>
          </cell>
          <cell r="D27">
            <v>54</v>
          </cell>
          <cell r="E27">
            <v>46</v>
          </cell>
          <cell r="F27">
            <v>38</v>
          </cell>
          <cell r="G27">
            <v>30</v>
          </cell>
          <cell r="H27">
            <v>22</v>
          </cell>
          <cell r="I27">
            <v>14</v>
          </cell>
          <cell r="J27">
            <v>6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Horas Estimadas
Restantes</v>
          </cell>
          <cell r="C28">
            <v>62</v>
          </cell>
          <cell r="D28">
            <v>60.266666666666666</v>
          </cell>
          <cell r="E28">
            <v>58.533333333333331</v>
          </cell>
          <cell r="F28">
            <v>56.8</v>
          </cell>
          <cell r="G28">
            <v>55.066666666666663</v>
          </cell>
          <cell r="H28">
            <v>53.333333333333329</v>
          </cell>
          <cell r="I28">
            <v>51.599999999999994</v>
          </cell>
          <cell r="J28">
            <v>49.86666666666666</v>
          </cell>
          <cell r="K28">
            <v>48.133333333333326</v>
          </cell>
          <cell r="L28">
            <v>46.399999999999991</v>
          </cell>
          <cell r="M28">
            <v>44.666666666666657</v>
          </cell>
          <cell r="N28">
            <v>42.933333333333323</v>
          </cell>
          <cell r="O28">
            <v>41.199999999999989</v>
          </cell>
          <cell r="P28">
            <v>39.466666666666654</v>
          </cell>
          <cell r="Q28">
            <v>37.73333333333332</v>
          </cell>
          <cell r="R28">
            <v>35.999999999999986</v>
          </cell>
          <cell r="S28">
            <v>34.266666666666652</v>
          </cell>
          <cell r="T28">
            <v>32.533333333333317</v>
          </cell>
          <cell r="U28">
            <v>30.799999999999983</v>
          </cell>
          <cell r="V28">
            <v>29.066666666666649</v>
          </cell>
          <cell r="W28">
            <v>27.333333333333314</v>
          </cell>
          <cell r="X28">
            <v>25.59999999999998</v>
          </cell>
          <cell r="Y28">
            <v>23.866666666666646</v>
          </cell>
          <cell r="Z28">
            <v>22.133333333333312</v>
          </cell>
          <cell r="AA28">
            <v>20.399999999999977</v>
          </cell>
          <cell r="AB28">
            <v>18.666666666666643</v>
          </cell>
          <cell r="AC28">
            <v>16.933333333333309</v>
          </cell>
          <cell r="AD28">
            <v>15.199999999999974</v>
          </cell>
          <cell r="AE28">
            <v>13.46666666666664</v>
          </cell>
          <cell r="AF28">
            <v>11.733333333333306</v>
          </cell>
          <cell r="AG28">
            <v>9.9999999999999716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B71342-B4E7-4FFA-A0D4-6AAF6A215FDD}" name="Table_14" displayName="Table_14" ref="AH3:AH5" headerRowCount="0" totalsRowShown="0">
  <tableColumns count="1">
    <tableColumn id="1" xr3:uid="{09ABE428-6276-4315-AE28-A7F4243A2166}" name="Column1" totalsRowDxfId="1">
      <calculatedColumnFormula>SUM(D3:AG3)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4F69CE-1DA2-40AC-B01F-6FD968E05482}" name="Table_135" displayName="Table_135" ref="AH7:AH9" headerRowCount="0" totalsRowShown="0">
  <tableColumns count="1">
    <tableColumn id="1" xr3:uid="{407A244C-E2FE-43B6-8824-F8D4086CF132}" name="Column1" totalsRowDxfId="0">
      <calculatedColumnFormula>SUM(D7:AG7)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71" zoomScaleNormal="85" workbookViewId="0">
      <selection activeCell="B3" sqref="B3"/>
    </sheetView>
  </sheetViews>
  <sheetFormatPr baseColWidth="10" defaultColWidth="12.5703125" defaultRowHeight="15" customHeight="1" x14ac:dyDescent="0.2"/>
  <cols>
    <col min="1" max="1" width="12.42578125" customWidth="1"/>
    <col min="2" max="2" width="39.7109375" bestFit="1" customWidth="1"/>
    <col min="3" max="3" width="36" customWidth="1"/>
    <col min="4" max="4" width="57.140625" customWidth="1"/>
    <col min="5" max="5" width="84" customWidth="1"/>
    <col min="6" max="6" width="14.42578125" customWidth="1"/>
    <col min="7" max="26" width="12.42578125" customWidth="1"/>
  </cols>
  <sheetData>
    <row r="1" spans="1:8" s="6" customFormat="1" ht="15.75" customHeigh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</row>
    <row r="2" spans="1:8" s="8" customFormat="1" ht="15.75" customHeight="1" x14ac:dyDescent="0.2">
      <c r="A2" s="71" t="s">
        <v>21</v>
      </c>
      <c r="B2" s="71"/>
      <c r="C2" s="71"/>
      <c r="D2" s="71"/>
      <c r="E2" s="71"/>
      <c r="F2" s="71"/>
      <c r="G2" s="71"/>
      <c r="H2" s="71"/>
    </row>
    <row r="3" spans="1:8" ht="15.75" customHeight="1" x14ac:dyDescent="0.2">
      <c r="A3" s="22" t="s">
        <v>50</v>
      </c>
      <c r="B3" s="22" t="s">
        <v>101</v>
      </c>
      <c r="C3" s="22" t="s">
        <v>20</v>
      </c>
      <c r="D3" s="22" t="s">
        <v>51</v>
      </c>
      <c r="E3" s="22" t="s">
        <v>52</v>
      </c>
      <c r="F3" s="23"/>
      <c r="G3" s="22" t="s">
        <v>8</v>
      </c>
      <c r="H3" s="22" t="s">
        <v>41</v>
      </c>
    </row>
    <row r="4" spans="1:8" ht="15.75" customHeight="1" x14ac:dyDescent="0.2">
      <c r="A4" s="71" t="s">
        <v>53</v>
      </c>
      <c r="B4" s="71"/>
      <c r="C4" s="71"/>
      <c r="D4" s="71"/>
      <c r="E4" s="71"/>
      <c r="F4" s="71"/>
      <c r="G4" s="71"/>
      <c r="H4" s="71"/>
    </row>
    <row r="5" spans="1:8" ht="15.75" customHeight="1" x14ac:dyDescent="0.2">
      <c r="A5" s="22" t="s">
        <v>54</v>
      </c>
      <c r="B5" s="22" t="s">
        <v>55</v>
      </c>
      <c r="C5" s="22" t="s">
        <v>20</v>
      </c>
      <c r="D5" s="22" t="s">
        <v>56</v>
      </c>
      <c r="E5" s="22" t="s">
        <v>57</v>
      </c>
      <c r="F5" s="22"/>
      <c r="G5" s="22" t="s">
        <v>8</v>
      </c>
      <c r="H5" s="22" t="s">
        <v>41</v>
      </c>
    </row>
    <row r="6" spans="1:8" s="13" customFormat="1" ht="13.9" customHeight="1" x14ac:dyDescent="0.2">
      <c r="A6" s="71" t="s">
        <v>58</v>
      </c>
      <c r="B6" s="71"/>
      <c r="C6" s="71"/>
      <c r="D6" s="71"/>
      <c r="E6" s="71"/>
      <c r="F6" s="71"/>
      <c r="G6" s="71"/>
      <c r="H6" s="71"/>
    </row>
    <row r="7" spans="1:8" ht="15.75" customHeight="1" x14ac:dyDescent="0.2">
      <c r="A7" s="22" t="s">
        <v>59</v>
      </c>
      <c r="B7" s="22" t="s">
        <v>102</v>
      </c>
      <c r="C7" s="22" t="s">
        <v>20</v>
      </c>
      <c r="D7" s="22" t="s">
        <v>60</v>
      </c>
      <c r="E7" s="22" t="s">
        <v>100</v>
      </c>
      <c r="F7" s="22"/>
      <c r="G7" s="22" t="s">
        <v>8</v>
      </c>
      <c r="H7" s="22" t="s">
        <v>41</v>
      </c>
    </row>
    <row r="8" spans="1:8" ht="12.75" x14ac:dyDescent="0.2">
      <c r="A8" s="71" t="s">
        <v>61</v>
      </c>
      <c r="B8" s="71"/>
      <c r="C8" s="71"/>
      <c r="D8" s="71"/>
      <c r="E8" s="71"/>
      <c r="F8" s="71"/>
      <c r="G8" s="71"/>
      <c r="H8" s="71"/>
    </row>
    <row r="9" spans="1:8" ht="25.5" x14ac:dyDescent="0.2">
      <c r="A9" s="24" t="s">
        <v>62</v>
      </c>
      <c r="B9" s="24" t="s">
        <v>63</v>
      </c>
      <c r="C9" s="24" t="s">
        <v>20</v>
      </c>
      <c r="D9" s="25" t="s">
        <v>64</v>
      </c>
      <c r="E9" s="25" t="s">
        <v>65</v>
      </c>
      <c r="F9" s="22"/>
      <c r="G9" s="24" t="s">
        <v>8</v>
      </c>
      <c r="H9" s="24" t="s">
        <v>41</v>
      </c>
    </row>
    <row r="10" spans="1:8" ht="15.75" customHeight="1" x14ac:dyDescent="0.2">
      <c r="A10" s="72"/>
      <c r="B10" s="72"/>
      <c r="C10" s="72"/>
      <c r="D10" s="72"/>
      <c r="E10" s="72"/>
      <c r="F10" s="72"/>
      <c r="G10" s="72"/>
      <c r="H10" s="72"/>
    </row>
    <row r="11" spans="1:8" ht="15.75" customHeight="1" x14ac:dyDescent="0.2">
      <c r="A11" s="11"/>
      <c r="B11" s="11"/>
      <c r="C11" s="11"/>
      <c r="D11" s="14"/>
      <c r="E11" s="12"/>
      <c r="F11" s="13"/>
      <c r="G11" s="11"/>
      <c r="H11" s="11"/>
    </row>
    <row r="12" spans="1:8" ht="15.75" customHeight="1" x14ac:dyDescent="0.2">
      <c r="A12" s="9"/>
      <c r="B12" s="11"/>
      <c r="C12" s="11"/>
      <c r="D12" s="11"/>
      <c r="E12" s="11"/>
      <c r="F12" s="13"/>
      <c r="G12" s="11"/>
      <c r="H12" s="11"/>
    </row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2:H2"/>
    <mergeCell ref="A10:H10"/>
    <mergeCell ref="A4:H4"/>
    <mergeCell ref="A6:H6"/>
    <mergeCell ref="A8:H8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7"/>
  <sheetViews>
    <sheetView topLeftCell="A13" zoomScale="85" zoomScaleNormal="85" workbookViewId="0">
      <selection activeCell="B37" sqref="B37"/>
    </sheetView>
  </sheetViews>
  <sheetFormatPr baseColWidth="10" defaultColWidth="12.5703125" defaultRowHeight="15" customHeight="1" x14ac:dyDescent="0.2"/>
  <cols>
    <col min="1" max="1" width="12.42578125" customWidth="1"/>
    <col min="2" max="2" width="10.5703125" customWidth="1"/>
    <col min="3" max="3" width="31.28515625" customWidth="1"/>
    <col min="4" max="4" width="18.7109375" customWidth="1"/>
    <col min="5" max="5" width="57.28515625" customWidth="1"/>
    <col min="6" max="6" width="56.28515625" customWidth="1"/>
    <col min="7" max="7" width="13.7109375" customWidth="1"/>
    <col min="8" max="26" width="12.42578125" customWidth="1"/>
  </cols>
  <sheetData>
    <row r="1" spans="2:9" ht="15.75" customHeight="1" x14ac:dyDescent="0.2"/>
    <row r="2" spans="2:9" ht="15.75" customHeight="1" x14ac:dyDescent="0.2">
      <c r="B2" s="27" t="s">
        <v>9</v>
      </c>
      <c r="C2" s="27" t="s">
        <v>1</v>
      </c>
      <c r="D2" s="27" t="s">
        <v>2</v>
      </c>
      <c r="E2" s="27" t="s">
        <v>10</v>
      </c>
      <c r="F2" s="27" t="s">
        <v>11</v>
      </c>
      <c r="G2" s="27" t="s">
        <v>5</v>
      </c>
      <c r="H2" s="27" t="s">
        <v>12</v>
      </c>
      <c r="I2" s="27" t="s">
        <v>13</v>
      </c>
    </row>
    <row r="3" spans="2:9" s="8" customFormat="1" ht="15.75" customHeight="1" x14ac:dyDescent="0.2">
      <c r="B3" s="60" t="s">
        <v>50</v>
      </c>
      <c r="C3" s="60" t="s">
        <v>101</v>
      </c>
      <c r="D3" s="60" t="s">
        <v>20</v>
      </c>
      <c r="E3" s="60" t="s">
        <v>51</v>
      </c>
      <c r="F3" s="60" t="s">
        <v>52</v>
      </c>
      <c r="G3" s="61"/>
      <c r="H3" s="60" t="s">
        <v>8</v>
      </c>
      <c r="I3" s="60" t="s">
        <v>41</v>
      </c>
    </row>
    <row r="4" spans="2:9" s="8" customFormat="1" ht="15.75" customHeight="1" x14ac:dyDescent="0.2">
      <c r="B4" s="42"/>
      <c r="C4" s="62" t="s">
        <v>14</v>
      </c>
      <c r="D4" s="63"/>
      <c r="E4" s="63"/>
      <c r="F4" s="63"/>
      <c r="G4" s="62" t="s">
        <v>15</v>
      </c>
      <c r="H4" s="63"/>
      <c r="I4" s="62" t="s">
        <v>16</v>
      </c>
    </row>
    <row r="5" spans="2:9" s="8" customFormat="1" ht="15.75" customHeight="1" x14ac:dyDescent="0.2">
      <c r="B5" s="66" t="s">
        <v>45</v>
      </c>
      <c r="C5" s="74" t="s">
        <v>103</v>
      </c>
      <c r="D5" s="74"/>
      <c r="E5" s="74"/>
      <c r="F5" s="74"/>
      <c r="G5" s="73" t="s">
        <v>43</v>
      </c>
      <c r="H5" s="66"/>
      <c r="I5" s="69" t="s">
        <v>92</v>
      </c>
    </row>
    <row r="6" spans="2:9" s="8" customFormat="1" ht="15.75" customHeight="1" x14ac:dyDescent="0.2">
      <c r="B6" s="66" t="s">
        <v>46</v>
      </c>
      <c r="C6" s="74" t="s">
        <v>105</v>
      </c>
      <c r="D6" s="74"/>
      <c r="E6" s="74"/>
      <c r="F6" s="74"/>
      <c r="G6" s="73"/>
      <c r="H6" s="66"/>
      <c r="I6" s="69" t="s">
        <v>93</v>
      </c>
    </row>
    <row r="7" spans="2:9" s="8" customFormat="1" ht="15.75" customHeight="1" x14ac:dyDescent="0.2">
      <c r="B7" s="66" t="s">
        <v>47</v>
      </c>
      <c r="C7" s="74" t="s">
        <v>106</v>
      </c>
      <c r="D7" s="74"/>
      <c r="E7" s="74"/>
      <c r="F7" s="74"/>
      <c r="G7" s="73"/>
      <c r="H7" s="66"/>
      <c r="I7" s="69" t="s">
        <v>94</v>
      </c>
    </row>
    <row r="8" spans="2:9" ht="15.75" customHeight="1" x14ac:dyDescent="0.2">
      <c r="B8" s="66" t="s">
        <v>48</v>
      </c>
      <c r="C8" s="74" t="s">
        <v>107</v>
      </c>
      <c r="D8" s="74"/>
      <c r="E8" s="74"/>
      <c r="F8" s="74"/>
      <c r="G8" s="73"/>
      <c r="H8" s="70"/>
      <c r="I8" s="69" t="s">
        <v>95</v>
      </c>
    </row>
    <row r="9" spans="2:9" ht="15.75" customHeight="1" x14ac:dyDescent="0.2">
      <c r="B9" s="7"/>
      <c r="C9" s="7"/>
      <c r="D9" s="8"/>
      <c r="E9" s="8"/>
      <c r="F9" s="8"/>
      <c r="G9" s="7"/>
      <c r="I9" s="31"/>
    </row>
    <row r="10" spans="2:9" ht="15.75" customHeight="1" x14ac:dyDescent="0.2">
      <c r="B10" s="7"/>
      <c r="C10" s="7"/>
      <c r="D10" s="8"/>
      <c r="E10" s="44" t="s">
        <v>104</v>
      </c>
      <c r="F10" s="8"/>
      <c r="G10" s="7"/>
      <c r="I10" s="31"/>
    </row>
    <row r="11" spans="2:9" ht="15.75" customHeight="1" x14ac:dyDescent="0.2">
      <c r="I11" s="29"/>
    </row>
    <row r="12" spans="2:9" ht="15.75" customHeight="1" x14ac:dyDescent="0.2">
      <c r="B12" s="45" t="s">
        <v>9</v>
      </c>
      <c r="C12" s="45" t="s">
        <v>1</v>
      </c>
      <c r="D12" s="45" t="s">
        <v>2</v>
      </c>
      <c r="E12" s="45" t="s">
        <v>10</v>
      </c>
      <c r="F12" s="45" t="s">
        <v>11</v>
      </c>
      <c r="G12" s="45" t="s">
        <v>5</v>
      </c>
      <c r="H12" s="45" t="s">
        <v>12</v>
      </c>
      <c r="I12" s="45" t="s">
        <v>13</v>
      </c>
    </row>
    <row r="13" spans="2:9" ht="15.75" customHeight="1" x14ac:dyDescent="0.2">
      <c r="B13" s="46" t="s">
        <v>54</v>
      </c>
      <c r="C13" s="46" t="s">
        <v>55</v>
      </c>
      <c r="D13" s="46" t="s">
        <v>20</v>
      </c>
      <c r="E13" s="46" t="s">
        <v>56</v>
      </c>
      <c r="F13" s="46" t="s">
        <v>57</v>
      </c>
      <c r="G13" s="46"/>
      <c r="H13" s="46" t="s">
        <v>8</v>
      </c>
      <c r="I13" s="47" t="s">
        <v>41</v>
      </c>
    </row>
    <row r="14" spans="2:9" ht="15.75" customHeight="1" x14ac:dyDescent="0.2">
      <c r="B14" s="43"/>
      <c r="C14" s="34" t="s">
        <v>14</v>
      </c>
      <c r="D14" s="33"/>
      <c r="E14" s="33"/>
      <c r="F14" s="33"/>
      <c r="G14" s="34" t="s">
        <v>15</v>
      </c>
      <c r="H14" s="33"/>
      <c r="I14" s="35" t="s">
        <v>16</v>
      </c>
    </row>
    <row r="15" spans="2:9" ht="15.75" customHeight="1" x14ac:dyDescent="0.2">
      <c r="B15" s="66" t="s">
        <v>78</v>
      </c>
      <c r="C15" s="66" t="s">
        <v>111</v>
      </c>
      <c r="D15" s="66"/>
      <c r="E15" s="66"/>
      <c r="F15" s="67"/>
      <c r="G15" s="73" t="s">
        <v>44</v>
      </c>
      <c r="H15" s="68"/>
      <c r="I15" s="69" t="s">
        <v>96</v>
      </c>
    </row>
    <row r="16" spans="2:9" ht="15.75" customHeight="1" x14ac:dyDescent="0.2">
      <c r="B16" s="66" t="s">
        <v>79</v>
      </c>
      <c r="C16" s="66" t="s">
        <v>112</v>
      </c>
      <c r="D16" s="66"/>
      <c r="E16" s="66"/>
      <c r="F16" s="67"/>
      <c r="G16" s="73"/>
      <c r="H16" s="68"/>
      <c r="I16" s="69" t="s">
        <v>96</v>
      </c>
    </row>
    <row r="17" spans="2:9" ht="15.75" customHeight="1" x14ac:dyDescent="0.2">
      <c r="B17" s="66" t="s">
        <v>80</v>
      </c>
      <c r="C17" s="66" t="s">
        <v>113</v>
      </c>
      <c r="D17" s="66"/>
      <c r="E17" s="66"/>
      <c r="F17" s="67"/>
      <c r="G17" s="73"/>
      <c r="H17" s="68"/>
      <c r="I17" s="69" t="s">
        <v>96</v>
      </c>
    </row>
    <row r="18" spans="2:9" ht="15.75" customHeight="1" x14ac:dyDescent="0.2">
      <c r="B18" s="66" t="s">
        <v>81</v>
      </c>
      <c r="C18" s="66" t="s">
        <v>114</v>
      </c>
      <c r="D18" s="66"/>
      <c r="E18" s="66"/>
      <c r="F18" s="67"/>
      <c r="G18" s="73"/>
      <c r="H18" s="68"/>
      <c r="I18" s="69" t="s">
        <v>96</v>
      </c>
    </row>
    <row r="19" spans="2:9" ht="15.75" customHeight="1" x14ac:dyDescent="0.2">
      <c r="B19" s="66" t="s">
        <v>82</v>
      </c>
      <c r="C19" s="66" t="s">
        <v>115</v>
      </c>
      <c r="D19" s="66"/>
      <c r="E19" s="66"/>
      <c r="F19" s="67"/>
      <c r="G19" s="73"/>
      <c r="H19" s="68"/>
      <c r="I19" s="69" t="s">
        <v>96</v>
      </c>
    </row>
    <row r="20" spans="2:9" ht="15.75" customHeight="1" x14ac:dyDescent="0.2">
      <c r="I20" s="29"/>
    </row>
    <row r="21" spans="2:9" ht="12.75" x14ac:dyDescent="0.2">
      <c r="B21" s="48" t="s">
        <v>9</v>
      </c>
      <c r="C21" s="48" t="s">
        <v>1</v>
      </c>
      <c r="D21" s="48" t="s">
        <v>2</v>
      </c>
      <c r="E21" s="48" t="s">
        <v>10</v>
      </c>
      <c r="F21" s="48" t="s">
        <v>11</v>
      </c>
      <c r="G21" s="48" t="s">
        <v>5</v>
      </c>
      <c r="H21" s="48" t="s">
        <v>12</v>
      </c>
      <c r="I21" s="48" t="s">
        <v>13</v>
      </c>
    </row>
    <row r="22" spans="2:9" ht="25.5" x14ac:dyDescent="0.2">
      <c r="B22" s="26" t="s">
        <v>59</v>
      </c>
      <c r="C22" s="26" t="s">
        <v>102</v>
      </c>
      <c r="D22" s="26" t="s">
        <v>20</v>
      </c>
      <c r="E22" s="26" t="s">
        <v>99</v>
      </c>
      <c r="F22" s="64" t="s">
        <v>100</v>
      </c>
      <c r="G22" s="26"/>
      <c r="H22" s="26" t="s">
        <v>8</v>
      </c>
      <c r="I22" s="32" t="s">
        <v>41</v>
      </c>
    </row>
    <row r="23" spans="2:9" ht="15.75" customHeight="1" x14ac:dyDescent="0.2">
      <c r="B23" s="43"/>
      <c r="C23" s="49" t="s">
        <v>14</v>
      </c>
      <c r="D23" s="50"/>
      <c r="E23" s="50"/>
      <c r="F23" s="50"/>
      <c r="G23" s="49" t="s">
        <v>15</v>
      </c>
      <c r="H23" s="50"/>
      <c r="I23" s="51" t="s">
        <v>16</v>
      </c>
    </row>
    <row r="24" spans="2:9" ht="15.75" customHeight="1" x14ac:dyDescent="0.2">
      <c r="B24" s="66" t="s">
        <v>83</v>
      </c>
      <c r="C24" s="66" t="s">
        <v>108</v>
      </c>
      <c r="D24" s="66"/>
      <c r="E24" s="66"/>
      <c r="F24" s="67"/>
      <c r="G24" s="73" t="s">
        <v>42</v>
      </c>
      <c r="H24" s="68"/>
      <c r="I24" s="69" t="s">
        <v>97</v>
      </c>
    </row>
    <row r="25" spans="2:9" ht="15.75" customHeight="1" x14ac:dyDescent="0.2">
      <c r="B25" s="66" t="s">
        <v>85</v>
      </c>
      <c r="C25" s="66" t="s">
        <v>116</v>
      </c>
      <c r="D25" s="68"/>
      <c r="E25" s="68"/>
      <c r="F25" s="67"/>
      <c r="G25" s="73"/>
      <c r="H25" s="68"/>
      <c r="I25" s="69" t="s">
        <v>96</v>
      </c>
    </row>
    <row r="26" spans="2:9" ht="15.75" customHeight="1" x14ac:dyDescent="0.2">
      <c r="B26" s="66" t="s">
        <v>86</v>
      </c>
      <c r="C26" s="66" t="s">
        <v>49</v>
      </c>
      <c r="D26" s="66"/>
      <c r="E26" s="66"/>
      <c r="F26" s="67"/>
      <c r="G26" s="73"/>
      <c r="H26" s="68"/>
      <c r="I26" s="69" t="s">
        <v>96</v>
      </c>
    </row>
    <row r="27" spans="2:9" ht="15.75" customHeight="1" x14ac:dyDescent="0.2">
      <c r="B27" s="66" t="s">
        <v>87</v>
      </c>
      <c r="C27" s="66" t="s">
        <v>109</v>
      </c>
      <c r="D27" s="66"/>
      <c r="E27" s="66"/>
      <c r="F27" s="67"/>
      <c r="G27" s="73"/>
      <c r="H27" s="68"/>
      <c r="I27" s="69" t="s">
        <v>97</v>
      </c>
    </row>
    <row r="28" spans="2:9" ht="15.75" customHeight="1" x14ac:dyDescent="0.2">
      <c r="B28" s="66" t="s">
        <v>88</v>
      </c>
      <c r="C28" s="66" t="s">
        <v>117</v>
      </c>
      <c r="D28" s="66"/>
      <c r="E28" s="66"/>
      <c r="F28" s="68"/>
      <c r="G28" s="68"/>
      <c r="H28" s="68"/>
      <c r="I28" s="69" t="s">
        <v>97</v>
      </c>
    </row>
    <row r="29" spans="2:9" ht="15.75" customHeight="1" x14ac:dyDescent="0.2">
      <c r="I29" s="29"/>
    </row>
    <row r="30" spans="2:9" ht="15.75" customHeight="1" x14ac:dyDescent="0.2">
      <c r="B30" s="52" t="s">
        <v>9</v>
      </c>
      <c r="C30" s="52" t="s">
        <v>1</v>
      </c>
      <c r="D30" s="52" t="s">
        <v>2</v>
      </c>
      <c r="E30" s="52" t="s">
        <v>10</v>
      </c>
      <c r="F30" s="52" t="s">
        <v>11</v>
      </c>
      <c r="G30" s="52" t="s">
        <v>5</v>
      </c>
      <c r="H30" s="52" t="s">
        <v>12</v>
      </c>
      <c r="I30" s="52" t="s">
        <v>13</v>
      </c>
    </row>
    <row r="31" spans="2:9" ht="47.45" customHeight="1" x14ac:dyDescent="0.2">
      <c r="B31" s="53" t="s">
        <v>62</v>
      </c>
      <c r="C31" s="53" t="s">
        <v>63</v>
      </c>
      <c r="D31" s="53" t="s">
        <v>20</v>
      </c>
      <c r="E31" s="54" t="s">
        <v>64</v>
      </c>
      <c r="F31" s="54" t="s">
        <v>66</v>
      </c>
      <c r="G31" s="55"/>
      <c r="H31" s="53" t="s">
        <v>8</v>
      </c>
      <c r="I31" s="56" t="s">
        <v>41</v>
      </c>
    </row>
    <row r="32" spans="2:9" ht="15.75" customHeight="1" x14ac:dyDescent="0.2">
      <c r="B32" s="43"/>
      <c r="C32" s="57" t="s">
        <v>14</v>
      </c>
      <c r="D32" s="58"/>
      <c r="E32" s="58"/>
      <c r="F32" s="58"/>
      <c r="G32" s="57" t="s">
        <v>15</v>
      </c>
      <c r="H32" s="58"/>
      <c r="I32" s="59" t="s">
        <v>16</v>
      </c>
    </row>
    <row r="33" spans="2:9" ht="15.75" customHeight="1" x14ac:dyDescent="0.2">
      <c r="B33" s="66" t="s">
        <v>84</v>
      </c>
      <c r="C33" s="66" t="s">
        <v>118</v>
      </c>
      <c r="D33" s="66"/>
      <c r="E33" s="66"/>
      <c r="F33" s="66"/>
      <c r="G33" s="73" t="s">
        <v>43</v>
      </c>
      <c r="H33" s="66"/>
      <c r="I33" s="69" t="s">
        <v>96</v>
      </c>
    </row>
    <row r="34" spans="2:9" ht="15.75" customHeight="1" x14ac:dyDescent="0.2">
      <c r="B34" s="66" t="s">
        <v>89</v>
      </c>
      <c r="C34" s="66" t="s">
        <v>120</v>
      </c>
      <c r="D34" s="66"/>
      <c r="E34" s="66"/>
      <c r="F34" s="66"/>
      <c r="G34" s="73"/>
      <c r="H34" s="66"/>
      <c r="I34" s="69" t="s">
        <v>98</v>
      </c>
    </row>
    <row r="35" spans="2:9" ht="15.75" customHeight="1" x14ac:dyDescent="0.2">
      <c r="B35" s="66" t="s">
        <v>90</v>
      </c>
      <c r="C35" s="66" t="s">
        <v>119</v>
      </c>
      <c r="D35" s="66"/>
      <c r="E35" s="66"/>
      <c r="F35" s="66"/>
      <c r="G35" s="73"/>
      <c r="H35" s="66"/>
      <c r="I35" s="69" t="s">
        <v>96</v>
      </c>
    </row>
    <row r="36" spans="2:9" ht="15.75" customHeight="1" x14ac:dyDescent="0.2">
      <c r="B36" s="66" t="s">
        <v>91</v>
      </c>
      <c r="C36" s="66" t="s">
        <v>110</v>
      </c>
      <c r="D36" s="66"/>
      <c r="E36" s="66"/>
      <c r="F36" s="66"/>
      <c r="G36" s="73"/>
      <c r="H36" s="66"/>
      <c r="I36" s="69" t="s">
        <v>98</v>
      </c>
    </row>
    <row r="37" spans="2:9" ht="15.75" customHeight="1" x14ac:dyDescent="0.2">
      <c r="F37" s="66"/>
      <c r="G37" s="73"/>
      <c r="H37" s="66"/>
    </row>
    <row r="38" spans="2:9" ht="15.75" customHeight="1" x14ac:dyDescent="0.2"/>
    <row r="39" spans="2:9" ht="15.75" customHeight="1" x14ac:dyDescent="0.2"/>
    <row r="40" spans="2:9" ht="15.75" customHeight="1" x14ac:dyDescent="0.2"/>
    <row r="41" spans="2:9" ht="15.75" customHeight="1" x14ac:dyDescent="0.2">
      <c r="C41" s="8"/>
      <c r="D41" s="8"/>
      <c r="E41" s="8"/>
    </row>
    <row r="42" spans="2:9" ht="15.75" customHeight="1" x14ac:dyDescent="0.2">
      <c r="F42" s="19"/>
    </row>
    <row r="43" spans="2:9" ht="15.75" customHeight="1" x14ac:dyDescent="0.2">
      <c r="C43" s="65"/>
      <c r="F43" s="19"/>
    </row>
    <row r="44" spans="2:9" ht="15.75" customHeight="1" x14ac:dyDescent="0.2">
      <c r="F44" s="19"/>
    </row>
    <row r="45" spans="2:9" ht="15.75" customHeight="1" x14ac:dyDescent="0.2">
      <c r="F45" s="19"/>
    </row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</sheetData>
  <mergeCells count="8">
    <mergeCell ref="G33:G37"/>
    <mergeCell ref="G5:G8"/>
    <mergeCell ref="G15:G19"/>
    <mergeCell ref="G24:G27"/>
    <mergeCell ref="C5:F5"/>
    <mergeCell ref="C6:F6"/>
    <mergeCell ref="C7:F7"/>
    <mergeCell ref="C8:F8"/>
  </mergeCells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5"/>
  <sheetViews>
    <sheetView tabSelected="1" zoomScale="85" zoomScaleNormal="85" workbookViewId="0">
      <selection activeCell="D26" sqref="D26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26" width="12.42578125" customWidth="1"/>
  </cols>
  <sheetData>
    <row r="1" spans="1:34" ht="15.75" customHeight="1" x14ac:dyDescent="0.2"/>
    <row r="2" spans="1:34" ht="15.75" customHeight="1" x14ac:dyDescent="0.2">
      <c r="B2" s="2"/>
      <c r="C2" s="40" t="s">
        <v>16</v>
      </c>
      <c r="D2" s="18" t="s">
        <v>67</v>
      </c>
      <c r="E2" s="18" t="s">
        <v>68</v>
      </c>
      <c r="F2" s="18" t="s">
        <v>69</v>
      </c>
      <c r="G2" s="18" t="s">
        <v>70</v>
      </c>
      <c r="H2" s="18" t="s">
        <v>71</v>
      </c>
      <c r="I2" s="18" t="s">
        <v>22</v>
      </c>
      <c r="J2" s="18" t="s">
        <v>23</v>
      </c>
      <c r="K2" s="18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72</v>
      </c>
      <c r="U2" s="2" t="s">
        <v>33</v>
      </c>
      <c r="V2" s="2" t="s">
        <v>34</v>
      </c>
      <c r="W2" s="2" t="s">
        <v>35</v>
      </c>
      <c r="X2" s="2" t="s">
        <v>36</v>
      </c>
      <c r="Y2" s="2" t="s">
        <v>37</v>
      </c>
      <c r="Z2" s="2" t="s">
        <v>38</v>
      </c>
      <c r="AA2" s="28" t="s">
        <v>39</v>
      </c>
      <c r="AB2" s="28" t="s">
        <v>40</v>
      </c>
      <c r="AC2" s="28" t="s">
        <v>73</v>
      </c>
      <c r="AD2" s="28" t="s">
        <v>74</v>
      </c>
      <c r="AE2" s="28" t="s">
        <v>75</v>
      </c>
      <c r="AF2" s="28" t="s">
        <v>76</v>
      </c>
      <c r="AG2" s="28" t="s">
        <v>77</v>
      </c>
      <c r="AH2" s="2" t="s">
        <v>17</v>
      </c>
    </row>
    <row r="3" spans="1:34" ht="15.75" customHeight="1" x14ac:dyDescent="0.2">
      <c r="B3" s="38" t="s">
        <v>45</v>
      </c>
      <c r="C3" s="37">
        <v>1.5</v>
      </c>
      <c r="D3" s="3">
        <v>1.5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4">
        <f>SUM(D3:AG3)</f>
        <v>1.5</v>
      </c>
    </row>
    <row r="4" spans="1:34" ht="15.75" customHeight="1" x14ac:dyDescent="0.2">
      <c r="B4" s="38" t="s">
        <v>46</v>
      </c>
      <c r="C4" s="37">
        <v>0.5</v>
      </c>
      <c r="D4" s="3">
        <v>0.5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>SUM(D4:AG4)</f>
        <v>0.5</v>
      </c>
    </row>
    <row r="5" spans="1:34" ht="15.75" customHeight="1" x14ac:dyDescent="0.2">
      <c r="A5" s="2"/>
      <c r="B5" s="38" t="s">
        <v>47</v>
      </c>
      <c r="C5" s="37">
        <v>1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>SUM(D5:AG5)</f>
        <v>1</v>
      </c>
    </row>
    <row r="6" spans="1:34" ht="15.75" customHeight="1" x14ac:dyDescent="0.2">
      <c r="B6" s="38" t="s">
        <v>48</v>
      </c>
      <c r="C6" s="37">
        <v>2</v>
      </c>
      <c r="D6" s="3">
        <v>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f>SUM(D6:AG6)</f>
        <v>2</v>
      </c>
    </row>
    <row r="7" spans="1:34" ht="15.75" customHeight="1" x14ac:dyDescent="0.2">
      <c r="B7" s="1"/>
      <c r="C7" s="3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41"/>
    </row>
    <row r="8" spans="1:34" ht="15.75" customHeight="1" x14ac:dyDescent="0.2">
      <c r="B8" s="38" t="s">
        <v>78</v>
      </c>
      <c r="C8" s="37">
        <v>4</v>
      </c>
      <c r="D8" s="3">
        <v>0</v>
      </c>
      <c r="E8" s="3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f>SUM(D8:AG8)</f>
        <v>4</v>
      </c>
    </row>
    <row r="9" spans="1:34" ht="15.75" customHeight="1" x14ac:dyDescent="0.2">
      <c r="B9" s="38" t="s">
        <v>79</v>
      </c>
      <c r="C9" s="37">
        <v>4</v>
      </c>
      <c r="D9">
        <v>0</v>
      </c>
      <c r="E9" s="3">
        <v>4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f t="shared" ref="AH9" si="0">SUM(D9:AG9)</f>
        <v>4</v>
      </c>
    </row>
    <row r="10" spans="1:34" ht="15.75" customHeight="1" x14ac:dyDescent="0.2">
      <c r="B10" s="38" t="s">
        <v>80</v>
      </c>
      <c r="C10" s="37">
        <v>4</v>
      </c>
      <c r="D10" s="3">
        <v>0</v>
      </c>
      <c r="E10" s="3">
        <v>0</v>
      </c>
      <c r="F10" s="3">
        <v>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f>SUM(D10:AG10)</f>
        <v>4</v>
      </c>
    </row>
    <row r="11" spans="1:34" ht="15.75" customHeight="1" x14ac:dyDescent="0.2">
      <c r="B11" s="38" t="s">
        <v>81</v>
      </c>
      <c r="C11" s="37">
        <v>4</v>
      </c>
      <c r="D11" s="3">
        <v>0</v>
      </c>
      <c r="E11" s="3">
        <v>0</v>
      </c>
      <c r="F11" s="3">
        <v>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f>SUM(D11:AG11)</f>
        <v>4</v>
      </c>
    </row>
    <row r="12" spans="1:34" ht="15.75" customHeight="1" x14ac:dyDescent="0.2">
      <c r="B12" s="39" t="s">
        <v>82</v>
      </c>
      <c r="C12" s="37">
        <v>4</v>
      </c>
      <c r="D12" s="3">
        <v>0</v>
      </c>
      <c r="E12" s="3">
        <v>0</v>
      </c>
      <c r="F12" s="3">
        <v>0</v>
      </c>
      <c r="G12" s="3">
        <v>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f>SUM(D12:AG12)</f>
        <v>4</v>
      </c>
    </row>
    <row r="13" spans="1:34" ht="15.75" customHeight="1" x14ac:dyDescent="0.2">
      <c r="C13" s="20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4" ht="15.75" customHeight="1" x14ac:dyDescent="0.2">
      <c r="B14" s="38" t="s">
        <v>83</v>
      </c>
      <c r="C14" s="37">
        <v>5</v>
      </c>
      <c r="D14" s="3">
        <v>0</v>
      </c>
      <c r="E14" s="3">
        <v>0</v>
      </c>
      <c r="F14" s="3">
        <v>0</v>
      </c>
      <c r="G14" s="3">
        <v>0</v>
      </c>
      <c r="H14" s="3">
        <v>5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f>SUM(D14:AG14)</f>
        <v>5</v>
      </c>
    </row>
    <row r="15" spans="1:34" ht="15.75" customHeight="1" x14ac:dyDescent="0.2">
      <c r="B15" s="38" t="s">
        <v>85</v>
      </c>
      <c r="C15" s="37">
        <v>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f>SUM(D15:AG15)</f>
        <v>4</v>
      </c>
    </row>
    <row r="16" spans="1:34" ht="15.75" customHeight="1" x14ac:dyDescent="0.2">
      <c r="B16" s="38" t="s">
        <v>86</v>
      </c>
      <c r="C16" s="37">
        <v>4</v>
      </c>
      <c r="D16">
        <v>0</v>
      </c>
      <c r="E16" s="3">
        <v>0</v>
      </c>
      <c r="F16" s="3">
        <v>0</v>
      </c>
      <c r="G16" s="3">
        <v>0</v>
      </c>
      <c r="H16" s="3">
        <v>0</v>
      </c>
      <c r="I16" s="3">
        <v>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f t="shared" ref="AH16" si="1">SUM(D16:AG16)</f>
        <v>4</v>
      </c>
    </row>
    <row r="17" spans="2:34" ht="15.75" customHeight="1" x14ac:dyDescent="0.2">
      <c r="B17" s="38" t="s">
        <v>87</v>
      </c>
      <c r="C17" s="37">
        <v>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f>SUM(D17:AG17)</f>
        <v>5</v>
      </c>
    </row>
    <row r="18" spans="2:34" ht="15.75" customHeight="1" x14ac:dyDescent="0.2">
      <c r="B18" s="38" t="s">
        <v>88</v>
      </c>
      <c r="C18" s="36">
        <v>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f>SUM(D18:AG18)</f>
        <v>5</v>
      </c>
    </row>
    <row r="19" spans="2:34" ht="15.75" customHeight="1" x14ac:dyDescent="0.2">
      <c r="C19" s="2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4" ht="15.75" customHeight="1" x14ac:dyDescent="0.2">
      <c r="B20" s="38" t="s">
        <v>84</v>
      </c>
      <c r="C20" s="37">
        <v>3</v>
      </c>
      <c r="D20" s="3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f>SUM(D20:AG20)</f>
        <v>3</v>
      </c>
    </row>
    <row r="21" spans="2:34" ht="15.75" customHeight="1" x14ac:dyDescent="0.2">
      <c r="B21" s="38" t="s">
        <v>89</v>
      </c>
      <c r="C21" s="37">
        <v>4</v>
      </c>
      <c r="D21">
        <v>0</v>
      </c>
      <c r="E21" s="3">
        <v>0</v>
      </c>
      <c r="F21" s="3">
        <v>0</v>
      </c>
      <c r="G21" s="3">
        <v>4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f>SUM(D21:AG21)</f>
        <v>4</v>
      </c>
    </row>
    <row r="22" spans="2:34" ht="15.75" customHeight="1" x14ac:dyDescent="0.2">
      <c r="B22" s="38" t="s">
        <v>90</v>
      </c>
      <c r="C22" s="37">
        <v>3</v>
      </c>
      <c r="D22" s="3">
        <v>0</v>
      </c>
      <c r="E22" s="3">
        <v>0</v>
      </c>
      <c r="F22" s="3">
        <v>0</v>
      </c>
      <c r="G22" s="3">
        <v>0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f>SUM(D22:AG22)</f>
        <v>3</v>
      </c>
    </row>
    <row r="23" spans="2:34" ht="15.75" customHeight="1" x14ac:dyDescent="0.2">
      <c r="B23" s="38" t="s">
        <v>91</v>
      </c>
      <c r="C23" s="37">
        <v>4</v>
      </c>
      <c r="D2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3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f t="shared" ref="AH23" si="2">SUM(D23:AG23)</f>
        <v>4</v>
      </c>
    </row>
    <row r="24" spans="2:34" ht="15.75" customHeight="1" x14ac:dyDescent="0.2"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16"/>
    </row>
    <row r="25" spans="2:34" ht="15.75" customHeight="1" x14ac:dyDescent="0.2">
      <c r="B25" s="1"/>
    </row>
    <row r="26" spans="2:34" ht="15.75" customHeight="1" x14ac:dyDescent="0.2">
      <c r="B26" s="5" t="s">
        <v>18</v>
      </c>
      <c r="C26">
        <f>SUM(C3:C6,C8:C12,C14:C18,C20:C23)</f>
        <v>62</v>
      </c>
      <c r="D26" s="2">
        <f>C26-SUM(D3:D6,D8:D12,D14:D18,D20:D23)</f>
        <v>54</v>
      </c>
      <c r="E26" s="2">
        <f>D26-SUM(E3:E6,E8:E12,E14:E18,E20:E23)</f>
        <v>46</v>
      </c>
      <c r="F26" s="2">
        <f t="shared" ref="F26:G26" si="3">E26-SUM(F3:F6,F8:F12,F14:F18,F20:F23)</f>
        <v>38</v>
      </c>
      <c r="G26" s="2">
        <f t="shared" si="3"/>
        <v>30</v>
      </c>
      <c r="H26" s="2">
        <f>G26-SUM(H3:H6,H8:H12,H14:H18,H20:H23)</f>
        <v>22</v>
      </c>
      <c r="I26" s="2">
        <f t="shared" ref="I26:K26" si="4">H26-SUM(I3:I6,I8:I12,I14:I18,I20:I23)</f>
        <v>14</v>
      </c>
      <c r="J26" s="2">
        <f t="shared" si="4"/>
        <v>6</v>
      </c>
      <c r="K26" s="2">
        <f t="shared" si="4"/>
        <v>0</v>
      </c>
      <c r="L26" s="2">
        <f t="shared" ref="L26:AG26" si="5">K26-SUM(L3:L5,L7:L8,L10:L12,L14:L15, L17:L18, L20, L22,L23,L21)</f>
        <v>0</v>
      </c>
      <c r="M26" s="2">
        <f t="shared" si="5"/>
        <v>0</v>
      </c>
      <c r="N26" s="2">
        <f t="shared" si="5"/>
        <v>0</v>
      </c>
      <c r="O26" s="2">
        <f t="shared" si="5"/>
        <v>0</v>
      </c>
      <c r="P26" s="2">
        <f t="shared" si="5"/>
        <v>0</v>
      </c>
      <c r="Q26" s="2">
        <f t="shared" si="5"/>
        <v>0</v>
      </c>
      <c r="R26" s="2">
        <f t="shared" si="5"/>
        <v>0</v>
      </c>
      <c r="S26" s="2">
        <f t="shared" si="5"/>
        <v>0</v>
      </c>
      <c r="T26" s="2">
        <f t="shared" si="5"/>
        <v>0</v>
      </c>
      <c r="U26" s="2">
        <f t="shared" si="5"/>
        <v>0</v>
      </c>
      <c r="V26" s="2">
        <f t="shared" si="5"/>
        <v>0</v>
      </c>
      <c r="W26" s="2">
        <f t="shared" si="5"/>
        <v>0</v>
      </c>
      <c r="X26" s="2">
        <f t="shared" si="5"/>
        <v>0</v>
      </c>
      <c r="Y26" s="2">
        <f t="shared" si="5"/>
        <v>0</v>
      </c>
      <c r="Z26" s="2">
        <f t="shared" si="5"/>
        <v>0</v>
      </c>
      <c r="AA26" s="2">
        <f t="shared" si="5"/>
        <v>0</v>
      </c>
      <c r="AB26" s="2">
        <f t="shared" si="5"/>
        <v>0</v>
      </c>
      <c r="AC26" s="2">
        <f t="shared" si="5"/>
        <v>0</v>
      </c>
      <c r="AD26" s="2">
        <f t="shared" si="5"/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">
        <f>SUM(D26:AG26)</f>
        <v>210</v>
      </c>
    </row>
    <row r="27" spans="2:34" ht="15.75" customHeight="1" x14ac:dyDescent="0.2">
      <c r="B27" s="5" t="s">
        <v>19</v>
      </c>
      <c r="C27">
        <f>SUM(C3:C24)</f>
        <v>62</v>
      </c>
      <c r="D27" s="15">
        <f>C27-(SUM($C$4:$C$6,$C$8:$C$9,$C$11:$C$13,$C$15:$C$16,$C$18:$C$19:$C$21,$C22:$C23, $C21)/30)</f>
        <v>60.31666666666667</v>
      </c>
      <c r="E27" s="15">
        <f>D27-(SUM($C$4:$C$6,$C$8:$C$9,$C$11:$C$13,$C$15:$C$16,$C$18:$C$19:$C$21,$C22:$C23, $C21)/30)</f>
        <v>58.63333333333334</v>
      </c>
      <c r="F27" s="15">
        <f>E27-(SUM($C$4:$C$6,$C$8:$C$9,$C$11:$C$13,$C$15:$C$16,$C$18:$C$19:$C$21,$C22:$C23, $C21)/30)</f>
        <v>56.95000000000001</v>
      </c>
      <c r="G27" s="15">
        <f>F27-(SUM($C$4:$C$6,$C$8:$C$9,$C$11:$C$13,$C$15:$C$16,$C$18:$C$19:$C$21,$C22:$C23, $C21)/30)</f>
        <v>55.26666666666668</v>
      </c>
      <c r="H27" s="15">
        <f>G27-(SUM($C$4:$C$6,$C$8:$C$9,$C$11:$C$13,$C$15:$C$16,$C$18:$C$19:$C$21,$C22:$C23, $C21)/30)</f>
        <v>53.58333333333335</v>
      </c>
      <c r="I27" s="15">
        <f>H27-(SUM($C$4:$C$6,$C$8:$C$9,$C$11:$C$13,$C$15:$C$16,$C$18:$C$19:$C$21,$C22:$C23, $C21)/30)</f>
        <v>51.90000000000002</v>
      </c>
      <c r="J27" s="15">
        <f>I27-(SUM($C$4:$C$6,$C$8:$C$9,$C$11:$C$13,$C$15:$C$16,$C$18:$C$19:$C$21,$C22:$C23, $C21)/30)</f>
        <v>50.21666666666669</v>
      </c>
      <c r="K27" s="15">
        <f>J27-(SUM($C$4:$C$6,$C$8:$C$9,$C$11:$C$13,$C$15:$C$16,$C$18:$C$19:$C$21,$C22:$C23, $C21)/30)</f>
        <v>48.53333333333336</v>
      </c>
      <c r="L27" s="15">
        <f>K27-(SUM($C$4:$C$6,$C$8:$C$9,$C$11:$C$13,$C$15:$C$16,$C$18:$C$19:$C$21,$C22:$C23, $C21)/30)</f>
        <v>46.85000000000003</v>
      </c>
      <c r="M27" s="15">
        <f>L27-(SUM($C$4:$C$6,$C$8:$C$9,$C$11:$C$13,$C$15:$C$16,$C$18:$C$19:$C$21,$C22:$C23, $C21)/30)</f>
        <v>45.1666666666667</v>
      </c>
      <c r="N27" s="15">
        <f>M27-(SUM($C$4:$C$6,$C$8:$C$9,$C$11:$C$13,$C$15:$C$16,$C$18:$C$19:$C$21,$C22:$C23, $C21)/30)</f>
        <v>43.48333333333337</v>
      </c>
      <c r="O27" s="15">
        <f>N27-(SUM($C$4:$C$6,$C$8:$C$9,$C$11:$C$13,$C$15:$C$16,$C$18:$C$19:$C$21,$C22:$C23, $C21)/30)</f>
        <v>41.80000000000004</v>
      </c>
      <c r="P27" s="15">
        <f>O27-(SUM($C$4:$C$6,$C$8:$C$9,$C$11:$C$13,$C$15:$C$16,$C$18:$C$19:$C$21,$C22:$C23, $C21)/30)</f>
        <v>40.11666666666671</v>
      </c>
      <c r="Q27" s="15">
        <f>P27-(SUM($C$4:$C$6,$C$8:$C$9,$C$11:$C$13,$C$15:$C$16,$C$18:$C$19:$C$21,$C22:$C23, $C21)/30)</f>
        <v>38.43333333333338</v>
      </c>
      <c r="R27" s="15">
        <f>Q27-(SUM($C$4:$C$6,$C$8:$C$9,$C$11:$C$13,$C$15:$C$16,$C$18:$C$19:$C$21,$C22:$C23, $C21)/30)</f>
        <v>36.75000000000005</v>
      </c>
      <c r="S27" s="15">
        <f>R27-(SUM($C$4:$C$6,$C$8:$C$9,$C$11:$C$13,$C$15:$C$16,$C$18:$C$19:$C$21,$C22:$C23, $C21)/30)</f>
        <v>35.06666666666672</v>
      </c>
      <c r="T27" s="15">
        <f>S27-(SUM($C$4:$C$6,$C$8:$C$9,$C$11:$C$13,$C$15:$C$16,$C$18:$C$19:$C$21,$C22:$C23, $C21)/30)</f>
        <v>33.38333333333339</v>
      </c>
      <c r="U27" s="15">
        <f>T27-(SUM($C$4:$C$6,$C$8:$C$9,$C$11:$C$13,$C$15:$C$16,$C$18:$C$19:$C$21,$C22:$C23, $C21)/30)</f>
        <v>31.700000000000056</v>
      </c>
      <c r="V27" s="15">
        <f>U27-(SUM($C$4:$C$6,$C$8:$C$9,$C$11:$C$13,$C$15:$C$16,$C$18:$C$19:$C$21,$C22:$C23, $C21)/30)</f>
        <v>30.016666666666723</v>
      </c>
      <c r="W27" s="15">
        <f>V27-(SUM($C$4:$C$6,$C$8:$C$9,$C$11:$C$13,$C$15:$C$16,$C$18:$C$19:$C$21,$C22:$C23, $C21)/30)</f>
        <v>28.333333333333389</v>
      </c>
      <c r="X27" s="15">
        <f>W27-(SUM($C$4:$C$6,$C$8:$C$9,$C$11:$C$13,$C$15:$C$16,$C$18:$C$19:$C$21,$C22:$C23, $C21)/30)</f>
        <v>26.650000000000055</v>
      </c>
      <c r="Y27" s="15">
        <f>X27-(SUM($C$4:$C$6,$C$8:$C$9,$C$11:$C$13,$C$15:$C$16,$C$18:$C$19:$C$21,$C22:$C23, $C21)/30)</f>
        <v>24.966666666666722</v>
      </c>
      <c r="Z27" s="15">
        <f>Y27-(SUM($C$4:$C$6,$C$8:$C$9,$C$11:$C$13,$C$15:$C$16,$C$18:$C$19:$C$21,$C22:$C23, $C21)/30)</f>
        <v>23.283333333333388</v>
      </c>
      <c r="AA27" s="15">
        <f>Z27-(SUM($C$4:$C$6,$C$8:$C$9,$C$11:$C$13,$C$15:$C$16,$C$18:$C$19:$C$21,$C22:$C23, $C21)/30)</f>
        <v>21.600000000000055</v>
      </c>
      <c r="AB27" s="15">
        <f>AA27-(SUM($C$4:$C$6,$C$8:$C$9,$C$11:$C$13,$C$15:$C$16,$C$18:$C$19:$C$21,$C22:$C23, $C21)/30)</f>
        <v>19.916666666666721</v>
      </c>
      <c r="AC27" s="15">
        <f>AB27-(SUM($C$4:$C$6,$C$8:$C$9,$C$11:$C$13,$C$15:$C$16,$C$18:$C$19:$C$21,$C22:$C23, $C21)/30)</f>
        <v>18.233333333333388</v>
      </c>
      <c r="AD27" s="15">
        <f>AC27-(SUM($C$4:$C$6,$C$8:$C$9,$C$11:$C$13,$C$15:$C$16,$C$18:$C$19:$C$21,$C22:$C23, $C21)/30)</f>
        <v>16.550000000000054</v>
      </c>
      <c r="AE27" s="15">
        <f>AD27-(SUM($C$4:$C$6,$C$8:$C$9,$C$11:$C$13,$C$15:$C$16,$C$18:$C$19:$C$21,$C22:$C23, $C21)/30)</f>
        <v>14.86666666666672</v>
      </c>
      <c r="AF27" s="15">
        <f>AE27-(SUM($C$4:$C$6,$C$8:$C$9,$C$11:$C$13,$C$15:$C$16,$C$18:$C$19:$C$21,$C22:$C23, $C21)/30)</f>
        <v>13.183333333333387</v>
      </c>
      <c r="AG27" s="15">
        <f>AF27-(SUM($C$4:$C$6,$C$8:$C$9,$C$11:$C$13,$C$15:$C$16,$C$18:$C$19:$C$21,$C22:$C23, $C21)/30)</f>
        <v>11.500000000000053</v>
      </c>
      <c r="AH27" s="75">
        <f>SUM(D27:AG27)</f>
        <v>1077.2500000000011</v>
      </c>
    </row>
    <row r="28" spans="2:34" ht="15.75" customHeight="1" x14ac:dyDescent="0.2"/>
    <row r="29" spans="2:34" ht="15.75" customHeight="1" x14ac:dyDescent="0.2"/>
    <row r="30" spans="2:34" ht="15.75" customHeight="1" x14ac:dyDescent="0.2"/>
    <row r="31" spans="2:34" ht="15.75" customHeight="1" x14ac:dyDescent="0.2">
      <c r="B31" s="10"/>
      <c r="C31" s="2"/>
      <c r="D31" s="2"/>
      <c r="E31" s="2"/>
      <c r="F31" s="2"/>
      <c r="G31" s="2"/>
      <c r="H31" s="2"/>
    </row>
    <row r="32" spans="2:34" ht="15.75" customHeight="1" x14ac:dyDescent="0.2"/>
    <row r="33" spans="2:8" ht="15.75" customHeight="1" x14ac:dyDescent="0.2">
      <c r="B33" s="10"/>
      <c r="C33" s="2"/>
      <c r="D33" s="2"/>
      <c r="E33" s="2"/>
      <c r="F33" s="2"/>
      <c r="G33" s="2"/>
      <c r="H33" s="2"/>
    </row>
    <row r="34" spans="2:8" ht="15.75" customHeight="1" x14ac:dyDescent="0.2">
      <c r="B34" s="10"/>
      <c r="C34" s="2"/>
      <c r="D34" s="2"/>
      <c r="E34" s="2"/>
      <c r="F34" s="2"/>
      <c r="G34" s="2"/>
      <c r="H34" s="2"/>
    </row>
    <row r="35" spans="2:8" ht="15.75" customHeight="1" x14ac:dyDescent="0.2"/>
    <row r="36" spans="2:8" ht="15.75" customHeight="1" x14ac:dyDescent="0.2">
      <c r="B36" s="17"/>
      <c r="C36" s="17"/>
      <c r="D36" s="17"/>
      <c r="E36" s="17"/>
      <c r="F36" s="17"/>
      <c r="G36" s="17"/>
    </row>
    <row r="37" spans="2:8" ht="15.75" customHeight="1" x14ac:dyDescent="0.2">
      <c r="B37" s="17"/>
      <c r="C37" s="17"/>
      <c r="D37" s="17"/>
      <c r="E37" s="17"/>
      <c r="F37" s="17"/>
      <c r="G37" s="17"/>
    </row>
    <row r="38" spans="2:8" ht="15.75" customHeight="1" x14ac:dyDescent="0.2">
      <c r="B38" s="17"/>
      <c r="C38" s="17"/>
      <c r="D38" s="17"/>
      <c r="E38" s="17"/>
      <c r="F38" s="17"/>
      <c r="G38" s="17"/>
    </row>
    <row r="39" spans="2:8" ht="15.75" customHeight="1" x14ac:dyDescent="0.2">
      <c r="B39" s="17"/>
      <c r="C39" s="17"/>
      <c r="D39" s="17"/>
      <c r="E39" s="17"/>
      <c r="F39" s="17"/>
      <c r="G39" s="17"/>
    </row>
    <row r="40" spans="2:8" ht="15.75" customHeight="1" x14ac:dyDescent="0.2">
      <c r="B40" s="17"/>
      <c r="C40" s="17"/>
      <c r="D40" s="17"/>
      <c r="E40" s="17"/>
      <c r="F40" s="17"/>
      <c r="G40" s="17"/>
    </row>
    <row r="41" spans="2:8" ht="15.75" customHeight="1" x14ac:dyDescent="0.2">
      <c r="B41" s="17"/>
      <c r="C41" s="17"/>
      <c r="D41" s="17"/>
      <c r="E41" s="17"/>
      <c r="F41" s="17"/>
      <c r="G41" s="17"/>
    </row>
    <row r="42" spans="2:8" ht="15.75" customHeight="1" x14ac:dyDescent="0.2">
      <c r="B42" s="17"/>
      <c r="C42" s="17"/>
      <c r="D42" s="17"/>
      <c r="E42" s="17"/>
      <c r="F42" s="17"/>
      <c r="G42" s="17"/>
    </row>
    <row r="43" spans="2:8" ht="15.75" customHeight="1" x14ac:dyDescent="0.2">
      <c r="B43" s="17"/>
      <c r="C43" s="17"/>
      <c r="D43" s="17"/>
      <c r="E43" s="17"/>
      <c r="F43" s="17"/>
      <c r="G43" s="17"/>
    </row>
    <row r="44" spans="2:8" ht="15.75" customHeight="1" x14ac:dyDescent="0.2"/>
    <row r="45" spans="2:8" ht="15.75" customHeight="1" x14ac:dyDescent="0.2"/>
    <row r="46" spans="2:8" ht="15.75" customHeight="1" x14ac:dyDescent="0.2"/>
    <row r="47" spans="2:8" ht="15.75" customHeight="1" x14ac:dyDescent="0.2"/>
    <row r="48" spans="2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ISMAEL ALEJANDRO SILVA FLORES</cp:lastModifiedBy>
  <dcterms:created xsi:type="dcterms:W3CDTF">2023-06-05T13:12:31Z</dcterms:created>
  <dcterms:modified xsi:type="dcterms:W3CDTF">2025-12-12T04:55:58Z</dcterms:modified>
</cp:coreProperties>
</file>