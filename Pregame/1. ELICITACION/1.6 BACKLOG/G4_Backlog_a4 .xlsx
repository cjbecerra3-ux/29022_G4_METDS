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st\Documents\"/>
    </mc:Choice>
  </mc:AlternateContent>
  <xr:revisionPtr revIDLastSave="0" documentId="13_ncr:1_{2BE571A9-283E-46EC-994F-3797521C65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7" i="3" l="1"/>
  <c r="AH10" i="3"/>
  <c r="AH17" i="3"/>
  <c r="AH23" i="3"/>
  <c r="AH24" i="3"/>
  <c r="AH22" i="3"/>
  <c r="C28" i="3"/>
  <c r="C27" i="3"/>
  <c r="D28" i="3" l="1"/>
  <c r="D27" i="3"/>
  <c r="E27" i="3" l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E28" i="3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4" i="3"/>
  <c r="AH21" i="3"/>
  <c r="AH19" i="3"/>
  <c r="AH18" i="3"/>
  <c r="AH27" i="3" l="1"/>
  <c r="AH28" i="3"/>
  <c r="AH16" i="3"/>
  <c r="AH15" i="3"/>
  <c r="AH13" i="3"/>
  <c r="AH12" i="3"/>
  <c r="AH11" i="3"/>
  <c r="AH9" i="3"/>
  <c r="AH5" i="3" l="1"/>
  <c r="AH6" i="3"/>
</calcChain>
</file>

<file path=xl/sharedStrings.xml><?xml version="1.0" encoding="utf-8"?>
<sst xmlns="http://schemas.openxmlformats.org/spreadsheetml/2006/main" count="239" uniqueCount="122">
  <si>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</si>
  <si>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</si>
  <si>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</si>
  <si>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</si>
  <si>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</si>
  <si>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</si>
  <si>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</si>
  <si>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</si>
  <si>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</si>
  <si>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</si>
  <si>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</si>
  <si>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</si>
  <si>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</si>
  <si>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</si>
  <si>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</si>
  <si>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</si>
  <si>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</si>
  <si>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</si>
  <si>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Horas Estimadas</t>
  </si>
  <si>
    <t>Horas Estimadas
Restantes</t>
  </si>
  <si>
    <t>Administrador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</si>
  <si>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</si>
  <si>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</si>
  <si>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</si>
  <si>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</si>
  <si>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</si>
  <si>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</si>
  <si>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</si>
  <si>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</si>
  <si>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</si>
  <si>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</si>
  <si>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</si>
  <si>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</si>
  <si>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</si>
  <si>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</si>
  <si>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</si>
  <si>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</si>
  <si>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</si>
  <si>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</si>
  <si>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</si>
  <si>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</si>
  <si>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En proceso</t>
  </si>
  <si>
    <t>Ismael Silva</t>
  </si>
  <si>
    <t>Kevin Castillo</t>
  </si>
  <si>
    <t>Cristian Becerra</t>
  </si>
  <si>
    <t>Campo contraseña debe mostrarse enmascarado (••••)</t>
  </si>
  <si>
    <t>Mostrar mensaje "Credenciales incorrectas" en caso de error</t>
  </si>
  <si>
    <t>Sistema debe validar usuario y contraseña.</t>
  </si>
  <si>
    <t>RQ001-1</t>
  </si>
  <si>
    <t>RQ001-2</t>
  </si>
  <si>
    <t>RQ001-3</t>
  </si>
  <si>
    <t>RQ001-4</t>
  </si>
  <si>
    <t>Sistema debe permitir recolectar datos del pedido (nombre del cliente, platos, cantidades, precios)</t>
  </si>
  <si>
    <t>Debe incluir campo para comentarios o peticiones especiales del cliente</t>
  </si>
  <si>
    <t>Mostrar resumen de la comanda con cálculo automático del total</t>
  </si>
  <si>
    <t>Interfaz debe mostrar todos los productos con precios visibles y selector de cantidades</t>
  </si>
  <si>
    <t>Pantalla debe mostrar dos secciones: "Pedidos en Proceso" (rojo) y "Pedidos Listos" (verde)</t>
  </si>
  <si>
    <t>Cada pedido debe mostrar detalles completos de la comanda</t>
  </si>
  <si>
    <t>Actualización en tiempo real de los cambios de estado</t>
  </si>
  <si>
    <t>Generar reporte diario con listado de platos vendidos, precios y cantidades</t>
  </si>
  <si>
    <t>Calcular y mostrar el total general de ventas del día</t>
  </si>
  <si>
    <t>Incluir datos de hora de cada comanda generada</t>
  </si>
  <si>
    <t>Botón "Generar reporte" que muestre el reporte en formato PDF</t>
  </si>
  <si>
    <t>RQ001</t>
  </si>
  <si>
    <t>Ingresar al sistema mediante credenciales</t>
  </si>
  <si>
    <t>Garantizar que solo usuarios autorizados accedan.</t>
  </si>
  <si>
    <t>SPRINT 2</t>
  </si>
  <si>
    <t>RQ002</t>
  </si>
  <si>
    <t>Gestión de Comandas</t>
  </si>
  <si>
    <t xml:space="preserve">Registrar comandas en una interfaz con el menu. </t>
  </si>
  <si>
    <t xml:space="preserve"> Reducir errores y agilizar la toma de pedidos.</t>
  </si>
  <si>
    <t>SPRINT 3</t>
  </si>
  <si>
    <t>RQ003</t>
  </si>
  <si>
    <t>Visiluazacion de Comandas</t>
  </si>
  <si>
    <t>Vizualizar las comandas y el estado en tiempo real.</t>
  </si>
  <si>
    <t xml:space="preserve"> Visualizar y tener un seguimiento del esado actual de la comanda. </t>
  </si>
  <si>
    <t>SPRINT 4</t>
  </si>
  <si>
    <t>RQ004</t>
  </si>
  <si>
    <t>Reportes Diarios</t>
  </si>
  <si>
    <t>Generar reportes con informacion relevante de las comandas.</t>
  </si>
  <si>
    <t xml:space="preserve"> Analizar los reportes diarios, para un mejor control de las comandas 
realizadas y sus totales.</t>
  </si>
  <si>
    <t>El sistema debe bloquearse por 30 segundos tras 3 intentos fallidos de login</t>
  </si>
  <si>
    <t xml:space="preserve"> Analizar los reportes diarios, para un mejor control de las comandas realizadas y sus totales.</t>
  </si>
  <si>
    <t>Botón de confirmación para generar y guardar la comanda.</t>
  </si>
  <si>
    <t>Botón "Realizado" para cambiar pedidos de "en proceso" a "Realizados"</t>
  </si>
  <si>
    <t>Organizar los pedidos en orden de llegada</t>
  </si>
  <si>
    <t>Día 1</t>
  </si>
  <si>
    <t>Día 2</t>
  </si>
  <si>
    <t>Día 3</t>
  </si>
  <si>
    <t>Día 4</t>
  </si>
  <si>
    <t>Día 5</t>
  </si>
  <si>
    <t>Dia 17</t>
  </si>
  <si>
    <t>Dia 26</t>
  </si>
  <si>
    <t>Dia 27</t>
  </si>
  <si>
    <t>Dia 28</t>
  </si>
  <si>
    <t>Dia 29</t>
  </si>
  <si>
    <t>Dia 30</t>
  </si>
  <si>
    <t>RQ002-1</t>
  </si>
  <si>
    <t>RQ002-2</t>
  </si>
  <si>
    <t>RQ002-3</t>
  </si>
  <si>
    <t>RQ002-4</t>
  </si>
  <si>
    <t>RQ002-5</t>
  </si>
  <si>
    <t>RQ003-1</t>
  </si>
  <si>
    <t>RQ004-1</t>
  </si>
  <si>
    <t>RQ003-2</t>
  </si>
  <si>
    <t>RQ003-3</t>
  </si>
  <si>
    <t>RQ003-4</t>
  </si>
  <si>
    <t>RQ003-5</t>
  </si>
  <si>
    <t>RQ004-2</t>
  </si>
  <si>
    <t>RQ004-3</t>
  </si>
  <si>
    <t>RQ004-4</t>
  </si>
  <si>
    <t>90min</t>
  </si>
  <si>
    <t xml:space="preserve">30min </t>
  </si>
  <si>
    <t>1h</t>
  </si>
  <si>
    <t>2h</t>
  </si>
  <si>
    <t>4h</t>
  </si>
  <si>
    <t>5h</t>
  </si>
  <si>
    <t>3h</t>
  </si>
  <si>
    <t>Visualizacion de Comandas</t>
  </si>
  <si>
    <t>Visualizar las comandas y el estado en tiempo real.</t>
  </si>
  <si>
    <t xml:space="preserve"> Visualizar y tener un seguimiento del estado actual de la comanda. </t>
  </si>
  <si>
    <t>Inicio de sesion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</si>
</sst>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rgb="FF0070C0"/>
      <name val="Arial"/>
      <family val="2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theme="4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b/>
      <sz val="10"/>
      <color rgb="FF0070C0"/>
      <name val="Arial"/>
      <family val="2"/>
      <scheme val="minor"/>
    </font>
    <font>
      <sz val="10"/>
      <color theme="4" tint="-0.249977111117893"/>
      <name val="Segoe UI"/>
      <family val="2"/>
    </font>
    <font>
      <b/>
      <sz val="10"/>
      <color theme="4" tint="-0.249977111117893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rgb="FF00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3" fillId="0" borderId="1" xfId="0" applyFont="1" applyBorder="1"/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3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4" borderId="0" xfId="0" applyFont="1" applyFill="1"/>
    <xf numFmtId="0" fontId="7" fillId="0" borderId="0" xfId="0" applyFont="1"/>
    <xf numFmtId="0" fontId="8" fillId="0" borderId="0" xfId="0" applyFont="1"/>
    <xf numFmtId="0" fontId="16" fillId="0" borderId="0" xfId="0" applyFont="1"/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6" borderId="0" xfId="0" applyFont="1" applyFill="1"/>
    <xf numFmtId="0" fontId="19" fillId="6" borderId="0" xfId="0" applyFont="1" applyFill="1"/>
    <xf numFmtId="0" fontId="18" fillId="6" borderId="0" xfId="0" applyFont="1" applyFill="1" applyAlignment="1">
      <alignment vertical="center"/>
    </xf>
    <xf numFmtId="0" fontId="18" fillId="6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/>
    </xf>
    <xf numFmtId="0" fontId="20" fillId="0" borderId="0" xfId="0" applyFont="1"/>
    <xf numFmtId="0" fontId="3" fillId="7" borderId="0" xfId="0" applyFont="1" applyFill="1"/>
    <xf numFmtId="0" fontId="0" fillId="0" borderId="0" xfId="0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 vertical="center"/>
    </xf>
    <xf numFmtId="0" fontId="7" fillId="9" borderId="0" xfId="0" applyFont="1" applyFill="1"/>
    <xf numFmtId="0" fontId="9" fillId="9" borderId="0" xfId="0" applyFont="1" applyFill="1"/>
    <xf numFmtId="0" fontId="9" fillId="9" borderId="0" xfId="0" applyFont="1" applyFill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/>
    </xf>
    <xf numFmtId="0" fontId="9" fillId="12" borderId="0" xfId="0" applyFont="1" applyFill="1"/>
    <xf numFmtId="0" fontId="21" fillId="12" borderId="0" xfId="0" applyFont="1" applyFill="1"/>
    <xf numFmtId="0" fontId="3" fillId="13" borderId="0" xfId="0" applyFont="1" applyFill="1"/>
    <xf numFmtId="0" fontId="3" fillId="14" borderId="1" xfId="0" applyFont="1" applyFill="1" applyBorder="1" applyAlignment="1">
      <alignment horizontal="right"/>
    </xf>
    <xf numFmtId="0" fontId="7" fillId="7" borderId="0" xfId="0" applyFont="1" applyFill="1"/>
    <xf numFmtId="0" fontId="0" fillId="7" borderId="0" xfId="0" applyFill="1"/>
    <xf numFmtId="0" fontId="17" fillId="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4040506982751072E-2"/>
          <c:y val="0.10597636451781475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BURDONCHART!$C$27:$AG$27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0.0</c:formatCode>
                <c:ptCount val="31"/>
                <c:pt idx="0" formatCode="General">
                  <c:v>5</c:v>
                </c:pt>
                <c:pt idx="1">
                  <c:v>4.833333333333333</c:v>
                </c:pt>
                <c:pt idx="2">
                  <c:v>4.6666666666666661</c:v>
                </c:pt>
                <c:pt idx="3">
                  <c:v>4.4999999999999991</c:v>
                </c:pt>
                <c:pt idx="4">
                  <c:v>4.3333333333333321</c:v>
                </c:pt>
                <c:pt idx="5">
                  <c:v>4.1666666666666652</c:v>
                </c:pt>
                <c:pt idx="6">
                  <c:v>3.9999999999999987</c:v>
                </c:pt>
                <c:pt idx="7">
                  <c:v>3.8333333333333321</c:v>
                </c:pt>
                <c:pt idx="8">
                  <c:v>3.6666666666666656</c:v>
                </c:pt>
                <c:pt idx="9">
                  <c:v>3.4999999999999991</c:v>
                </c:pt>
                <c:pt idx="10">
                  <c:v>3.3333333333333326</c:v>
                </c:pt>
                <c:pt idx="11">
                  <c:v>3.1666666666666661</c:v>
                </c:pt>
                <c:pt idx="12">
                  <c:v>2.9999999999999996</c:v>
                </c:pt>
                <c:pt idx="13">
                  <c:v>2.833333333333333</c:v>
                </c:pt>
                <c:pt idx="14">
                  <c:v>2.6666666666666665</c:v>
                </c:pt>
                <c:pt idx="15">
                  <c:v>2.5</c:v>
                </c:pt>
                <c:pt idx="16">
                  <c:v>2.3333333333333335</c:v>
                </c:pt>
                <c:pt idx="17">
                  <c:v>2.166666666666667</c:v>
                </c:pt>
                <c:pt idx="18">
                  <c:v>2.0000000000000004</c:v>
                </c:pt>
                <c:pt idx="19">
                  <c:v>1.8333333333333337</c:v>
                </c:pt>
                <c:pt idx="20">
                  <c:v>1.666666666666667</c:v>
                </c:pt>
                <c:pt idx="21">
                  <c:v>1.5000000000000002</c:v>
                </c:pt>
                <c:pt idx="22">
                  <c:v>1.3333333333333335</c:v>
                </c:pt>
                <c:pt idx="23">
                  <c:v>1.1666666666666667</c:v>
                </c:pt>
                <c:pt idx="24">
                  <c:v>1</c:v>
                </c:pt>
                <c:pt idx="25">
                  <c:v>0.83333333333333337</c:v>
                </c:pt>
                <c:pt idx="26">
                  <c:v>0.66666666666666674</c:v>
                </c:pt>
                <c:pt idx="27">
                  <c:v>0.50000000000000011</c:v>
                </c:pt>
                <c:pt idx="28">
                  <c:v>0.33333333333333348</c:v>
                </c:pt>
                <c:pt idx="29">
                  <c:v>0.16666666666666682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30</xdr:row>
      <xdr:rowOff>26444</xdr:rowOff>
    </xdr:from>
    <xdr:to>
      <xdr:col>16</xdr:col>
      <xdr:colOff>732081</xdr:colOff>
      <xdr:row>50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zoomScale="71" zoomScaleNormal="85" workbookViewId="0">
      <selection activeCell="B3" sqref="B3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57.109375" customWidth="1"/>
    <col min="5" max="5" width="84" customWidth="1"/>
    <col min="6" max="6" width="14.44140625" customWidth="1"/>
    <col min="7" max="26" width="12.44140625" customWidth="1"/>
  </cols>
  <sheetData>
    <row r="1" spans="1:8" s="7" customFormat="1" ht="15.75" customHeigh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 spans="1:8" s="9" customFormat="1" ht="15.75" customHeight="1" x14ac:dyDescent="0.25">
      <c r="A2" s="53" t="s">
        <v>21</v>
      </c>
      <c r="B2" s="53"/>
      <c r="C2" s="53"/>
      <c r="D2" s="53"/>
      <c r="E2" s="53"/>
      <c r="F2" s="53"/>
      <c r="G2" s="53"/>
      <c r="H2" s="53"/>
    </row>
    <row r="3" spans="1:8" ht="15.75" customHeight="1" x14ac:dyDescent="0.25">
      <c r="A3" s="25" t="s">
        <v>63</v>
      </c>
      <c r="B3" s="25" t="s">
        <v>121</v>
      </c>
      <c r="C3" s="25" t="s">
        <v>20</v>
      </c>
      <c r="D3" s="25" t="s">
        <v>64</v>
      </c>
      <c r="E3" s="25" t="s">
        <v>65</v>
      </c>
      <c r="F3" s="26"/>
      <c r="G3" s="25" t="s">
        <v>8</v>
      </c>
      <c r="H3" s="25" t="s">
        <v>41</v>
      </c>
    </row>
    <row r="4" spans="1:8" ht="15.75" customHeight="1" x14ac:dyDescent="0.25">
      <c r="A4" s="53" t="s">
        <v>66</v>
      </c>
      <c r="B4" s="53"/>
      <c r="C4" s="53"/>
      <c r="D4" s="53"/>
      <c r="E4" s="53"/>
      <c r="F4" s="53"/>
      <c r="G4" s="53"/>
      <c r="H4" s="53"/>
    </row>
    <row r="5" spans="1:8" ht="15.75" customHeight="1" x14ac:dyDescent="0.25">
      <c r="A5" s="25" t="s">
        <v>67</v>
      </c>
      <c r="B5" s="25" t="s">
        <v>68</v>
      </c>
      <c r="C5" s="25" t="s">
        <v>20</v>
      </c>
      <c r="D5" s="25" t="s">
        <v>69</v>
      </c>
      <c r="E5" s="25" t="s">
        <v>70</v>
      </c>
      <c r="F5" s="25"/>
      <c r="G5" s="25" t="s">
        <v>8</v>
      </c>
      <c r="H5" s="25" t="s">
        <v>41</v>
      </c>
    </row>
    <row r="6" spans="1:8" s="14" customFormat="1" ht="13.95" customHeight="1" x14ac:dyDescent="0.25">
      <c r="A6" s="53" t="s">
        <v>71</v>
      </c>
      <c r="B6" s="53"/>
      <c r="C6" s="53"/>
      <c r="D6" s="53"/>
      <c r="E6" s="53"/>
      <c r="F6" s="53"/>
      <c r="G6" s="53"/>
      <c r="H6" s="53"/>
    </row>
    <row r="7" spans="1:8" ht="15.75" customHeight="1" x14ac:dyDescent="0.25">
      <c r="A7" s="25" t="s">
        <v>72</v>
      </c>
      <c r="B7" s="25" t="s">
        <v>73</v>
      </c>
      <c r="C7" s="25" t="s">
        <v>20</v>
      </c>
      <c r="D7" s="25" t="s">
        <v>74</v>
      </c>
      <c r="E7" s="25" t="s">
        <v>75</v>
      </c>
      <c r="F7" s="25"/>
      <c r="G7" s="25" t="s">
        <v>8</v>
      </c>
      <c r="H7" s="25" t="s">
        <v>41</v>
      </c>
    </row>
    <row r="8" spans="1:8" ht="13.2" x14ac:dyDescent="0.25">
      <c r="A8" s="53" t="s">
        <v>76</v>
      </c>
      <c r="B8" s="53"/>
      <c r="C8" s="53"/>
      <c r="D8" s="53"/>
      <c r="E8" s="53"/>
      <c r="F8" s="53"/>
      <c r="G8" s="53"/>
      <c r="H8" s="53"/>
    </row>
    <row r="9" spans="1:8" ht="26.4" x14ac:dyDescent="0.25">
      <c r="A9" s="27" t="s">
        <v>77</v>
      </c>
      <c r="B9" s="27" t="s">
        <v>78</v>
      </c>
      <c r="C9" s="27" t="s">
        <v>20</v>
      </c>
      <c r="D9" s="27" t="s">
        <v>79</v>
      </c>
      <c r="E9" s="28" t="s">
        <v>80</v>
      </c>
      <c r="F9" s="25"/>
      <c r="G9" s="27" t="s">
        <v>8</v>
      </c>
      <c r="H9" s="27" t="s">
        <v>41</v>
      </c>
    </row>
    <row r="10" spans="1:8" ht="15.75" customHeight="1" x14ac:dyDescent="0.25">
      <c r="A10" s="54"/>
      <c r="B10" s="54"/>
      <c r="C10" s="54"/>
      <c r="D10" s="54"/>
      <c r="E10" s="54"/>
      <c r="F10" s="54"/>
      <c r="G10" s="54"/>
      <c r="H10" s="54"/>
    </row>
    <row r="11" spans="1:8" ht="15.75" customHeight="1" x14ac:dyDescent="0.25">
      <c r="A11" s="12"/>
      <c r="B11" s="12"/>
      <c r="C11" s="12"/>
      <c r="D11" s="15"/>
      <c r="E11" s="13"/>
      <c r="F11" s="14"/>
      <c r="G11" s="12"/>
      <c r="H11" s="12"/>
    </row>
    <row r="12" spans="1:8" ht="15.75" customHeight="1" x14ac:dyDescent="0.25">
      <c r="A12" s="10"/>
      <c r="B12" s="12"/>
      <c r="C12" s="12"/>
      <c r="D12" s="12"/>
      <c r="E12" s="12"/>
      <c r="F12" s="14"/>
      <c r="G12" s="12"/>
      <c r="H12" s="12"/>
    </row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2:H2"/>
    <mergeCell ref="A10:H10"/>
    <mergeCell ref="A4:H4"/>
    <mergeCell ref="A6:H6"/>
    <mergeCell ref="A8:H8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7"/>
  <sheetViews>
    <sheetView topLeftCell="A7" zoomScale="85" zoomScaleNormal="85" workbookViewId="0">
      <selection activeCell="E11" sqref="E11"/>
    </sheetView>
  </sheetViews>
  <sheetFormatPr baseColWidth="10" defaultColWidth="12.5546875" defaultRowHeight="15" customHeight="1" x14ac:dyDescent="0.25"/>
  <cols>
    <col min="1" max="1" width="12.44140625" customWidth="1"/>
    <col min="2" max="2" width="10.5546875" customWidth="1"/>
    <col min="3" max="3" width="31.33203125" customWidth="1"/>
    <col min="4" max="4" width="18.6640625" customWidth="1"/>
    <col min="5" max="5" width="57.21875" customWidth="1"/>
    <col min="6" max="6" width="56.33203125" customWidth="1"/>
    <col min="7" max="7" width="13.77734375" customWidth="1"/>
    <col min="8" max="26" width="12.44140625" customWidth="1"/>
  </cols>
  <sheetData>
    <row r="1" spans="2:9" ht="15.75" customHeight="1" x14ac:dyDescent="0.25"/>
    <row r="2" spans="2:9" ht="15.75" customHeight="1" x14ac:dyDescent="0.25">
      <c r="B2" s="33" t="s">
        <v>9</v>
      </c>
      <c r="C2" s="33" t="s">
        <v>1</v>
      </c>
      <c r="D2" s="33" t="s">
        <v>2</v>
      </c>
      <c r="E2" s="33" t="s">
        <v>10</v>
      </c>
      <c r="F2" s="33" t="s">
        <v>11</v>
      </c>
      <c r="G2" s="33" t="s">
        <v>5</v>
      </c>
      <c r="H2" s="33" t="s">
        <v>12</v>
      </c>
      <c r="I2" s="33" t="s">
        <v>13</v>
      </c>
    </row>
    <row r="3" spans="2:9" s="9" customFormat="1" ht="15.75" customHeight="1" x14ac:dyDescent="0.25">
      <c r="B3" s="29" t="s">
        <v>63</v>
      </c>
      <c r="C3" s="29" t="s">
        <v>121</v>
      </c>
      <c r="D3" s="29" t="s">
        <v>20</v>
      </c>
      <c r="E3" s="29" t="s">
        <v>64</v>
      </c>
      <c r="F3" s="29" t="s">
        <v>65</v>
      </c>
      <c r="G3" s="30"/>
      <c r="H3" s="29" t="s">
        <v>8</v>
      </c>
      <c r="I3" s="29" t="s">
        <v>41</v>
      </c>
    </row>
    <row r="4" spans="2:9" s="9" customFormat="1" ht="15.75" customHeight="1" x14ac:dyDescent="0.25">
      <c r="B4" s="51"/>
      <c r="C4" s="43" t="s">
        <v>14</v>
      </c>
      <c r="D4" s="42"/>
      <c r="E4" s="42"/>
      <c r="F4" s="42"/>
      <c r="G4" s="43" t="s">
        <v>15</v>
      </c>
      <c r="H4" s="42"/>
      <c r="I4" s="43" t="s">
        <v>16</v>
      </c>
    </row>
    <row r="5" spans="2:9" s="9" customFormat="1" ht="15.75" customHeight="1" x14ac:dyDescent="0.25">
      <c r="B5" s="8" t="s">
        <v>48</v>
      </c>
      <c r="C5" s="57" t="s">
        <v>47</v>
      </c>
      <c r="D5" s="58"/>
      <c r="E5" s="58"/>
      <c r="F5" s="58"/>
      <c r="G5" s="55" t="s">
        <v>43</v>
      </c>
      <c r="H5" s="8"/>
      <c r="I5" s="38" t="s">
        <v>111</v>
      </c>
    </row>
    <row r="6" spans="2:9" s="9" customFormat="1" ht="15.75" customHeight="1" x14ac:dyDescent="0.25">
      <c r="B6" s="8" t="s">
        <v>49</v>
      </c>
      <c r="C6" s="57" t="s">
        <v>45</v>
      </c>
      <c r="D6" s="58"/>
      <c r="E6" s="58"/>
      <c r="F6" s="58"/>
      <c r="G6" s="55"/>
      <c r="H6" s="8"/>
      <c r="I6" s="38" t="s">
        <v>112</v>
      </c>
    </row>
    <row r="7" spans="2:9" s="9" customFormat="1" ht="15.75" customHeight="1" x14ac:dyDescent="0.25">
      <c r="B7" s="8" t="s">
        <v>50</v>
      </c>
      <c r="C7" s="57" t="s">
        <v>46</v>
      </c>
      <c r="D7" s="58"/>
      <c r="E7" s="58"/>
      <c r="F7" s="58"/>
      <c r="G7" s="55"/>
      <c r="H7" s="8"/>
      <c r="I7" s="38" t="s">
        <v>113</v>
      </c>
    </row>
    <row r="8" spans="2:9" ht="15.75" customHeight="1" x14ac:dyDescent="0.25">
      <c r="B8" s="8" t="s">
        <v>51</v>
      </c>
      <c r="C8" s="57" t="s">
        <v>81</v>
      </c>
      <c r="D8" s="58"/>
      <c r="E8" s="58"/>
      <c r="F8" s="58"/>
      <c r="G8" s="55"/>
      <c r="H8" s="1"/>
      <c r="I8" s="38" t="s">
        <v>114</v>
      </c>
    </row>
    <row r="9" spans="2:9" ht="15.75" customHeight="1" x14ac:dyDescent="0.25">
      <c r="B9" s="8"/>
      <c r="C9" s="8"/>
      <c r="D9" s="9"/>
      <c r="E9" s="9"/>
      <c r="F9" s="9"/>
      <c r="G9" s="8"/>
      <c r="I9" s="39"/>
    </row>
    <row r="10" spans="2:9" ht="15.75" customHeight="1" x14ac:dyDescent="0.25">
      <c r="B10" s="8"/>
      <c r="C10" s="8"/>
      <c r="D10" s="9"/>
      <c r="E10" s="9"/>
      <c r="F10" s="9"/>
      <c r="G10" s="8"/>
      <c r="I10" s="39"/>
    </row>
    <row r="11" spans="2:9" ht="15.75" customHeight="1" x14ac:dyDescent="0.25">
      <c r="I11" s="36"/>
    </row>
    <row r="12" spans="2:9" ht="15.75" customHeight="1" x14ac:dyDescent="0.25">
      <c r="B12" s="33" t="s">
        <v>9</v>
      </c>
      <c r="C12" s="33" t="s">
        <v>1</v>
      </c>
      <c r="D12" s="33" t="s">
        <v>2</v>
      </c>
      <c r="E12" s="33" t="s">
        <v>10</v>
      </c>
      <c r="F12" s="33" t="s">
        <v>11</v>
      </c>
      <c r="G12" s="33" t="s">
        <v>5</v>
      </c>
      <c r="H12" s="33" t="s">
        <v>12</v>
      </c>
      <c r="I12" s="33" t="s">
        <v>13</v>
      </c>
    </row>
    <row r="13" spans="2:9" ht="15.75" customHeight="1" x14ac:dyDescent="0.25">
      <c r="B13" s="29" t="s">
        <v>67</v>
      </c>
      <c r="C13" s="29" t="s">
        <v>68</v>
      </c>
      <c r="D13" s="29" t="s">
        <v>20</v>
      </c>
      <c r="E13" s="29" t="s">
        <v>69</v>
      </c>
      <c r="F13" s="29" t="s">
        <v>70</v>
      </c>
      <c r="G13" s="29"/>
      <c r="H13" s="29" t="s">
        <v>8</v>
      </c>
      <c r="I13" s="40" t="s">
        <v>41</v>
      </c>
    </row>
    <row r="14" spans="2:9" ht="15.75" customHeight="1" x14ac:dyDescent="0.25">
      <c r="B14" s="52"/>
      <c r="C14" s="43" t="s">
        <v>14</v>
      </c>
      <c r="D14" s="42"/>
      <c r="E14" s="42"/>
      <c r="F14" s="42"/>
      <c r="G14" s="43" t="s">
        <v>15</v>
      </c>
      <c r="H14" s="42"/>
      <c r="I14" s="44" t="s">
        <v>16</v>
      </c>
    </row>
    <row r="15" spans="2:9" ht="15.75" customHeight="1" x14ac:dyDescent="0.35">
      <c r="B15" s="20" t="s">
        <v>97</v>
      </c>
      <c r="C15" s="34" t="s">
        <v>55</v>
      </c>
      <c r="D15" s="21"/>
      <c r="E15" s="21"/>
      <c r="F15" s="22"/>
      <c r="G15" s="56" t="s">
        <v>44</v>
      </c>
      <c r="I15" s="38" t="s">
        <v>115</v>
      </c>
    </row>
    <row r="16" spans="2:9" ht="15.75" customHeight="1" x14ac:dyDescent="0.25">
      <c r="B16" s="20" t="s">
        <v>98</v>
      </c>
      <c r="C16" s="21" t="s">
        <v>52</v>
      </c>
      <c r="D16" s="21"/>
      <c r="E16" s="21"/>
      <c r="F16" s="22"/>
      <c r="G16" s="56"/>
      <c r="I16" s="38" t="s">
        <v>115</v>
      </c>
    </row>
    <row r="17" spans="2:9" ht="15.75" customHeight="1" x14ac:dyDescent="0.35">
      <c r="B17" s="20" t="s">
        <v>99</v>
      </c>
      <c r="C17" s="34" t="s">
        <v>53</v>
      </c>
      <c r="D17" s="21"/>
      <c r="E17" s="21"/>
      <c r="F17" s="22"/>
      <c r="G17" s="56"/>
      <c r="I17" s="38" t="s">
        <v>115</v>
      </c>
    </row>
    <row r="18" spans="2:9" ht="15.75" customHeight="1" x14ac:dyDescent="0.35">
      <c r="B18" s="20" t="s">
        <v>100</v>
      </c>
      <c r="C18" s="34" t="s">
        <v>54</v>
      </c>
      <c r="D18" s="21"/>
      <c r="E18" s="21"/>
      <c r="F18" s="22"/>
      <c r="G18" s="56"/>
      <c r="I18" s="38" t="s">
        <v>115</v>
      </c>
    </row>
    <row r="19" spans="2:9" ht="15.75" customHeight="1" x14ac:dyDescent="0.35">
      <c r="B19" s="21" t="s">
        <v>101</v>
      </c>
      <c r="C19" s="34" t="s">
        <v>83</v>
      </c>
      <c r="D19" s="21"/>
      <c r="E19" s="21"/>
      <c r="F19" s="22"/>
      <c r="G19" s="56"/>
      <c r="I19" s="38" t="s">
        <v>115</v>
      </c>
    </row>
    <row r="20" spans="2:9" ht="15.75" customHeight="1" x14ac:dyDescent="0.25">
      <c r="I20" s="36"/>
    </row>
    <row r="21" spans="2:9" ht="15.75" customHeight="1" x14ac:dyDescent="0.25">
      <c r="B21" s="33" t="s">
        <v>9</v>
      </c>
      <c r="C21" s="33" t="s">
        <v>1</v>
      </c>
      <c r="D21" s="33" t="s">
        <v>2</v>
      </c>
      <c r="E21" s="33" t="s">
        <v>10</v>
      </c>
      <c r="F21" s="33" t="s">
        <v>11</v>
      </c>
      <c r="G21" s="33" t="s">
        <v>5</v>
      </c>
      <c r="H21" s="33" t="s">
        <v>12</v>
      </c>
      <c r="I21" s="33" t="s">
        <v>13</v>
      </c>
    </row>
    <row r="22" spans="2:9" ht="15.75" customHeight="1" x14ac:dyDescent="0.25">
      <c r="B22" s="29" t="s">
        <v>72</v>
      </c>
      <c r="C22" s="29" t="s">
        <v>118</v>
      </c>
      <c r="D22" s="29" t="s">
        <v>20</v>
      </c>
      <c r="E22" s="29" t="s">
        <v>119</v>
      </c>
      <c r="F22" s="29" t="s">
        <v>120</v>
      </c>
      <c r="G22" s="29"/>
      <c r="H22" s="29" t="s">
        <v>8</v>
      </c>
      <c r="I22" s="40" t="s">
        <v>41</v>
      </c>
    </row>
    <row r="23" spans="2:9" ht="15.75" customHeight="1" x14ac:dyDescent="0.25">
      <c r="B23" s="52"/>
      <c r="C23" s="43" t="s">
        <v>14</v>
      </c>
      <c r="D23" s="42"/>
      <c r="E23" s="42"/>
      <c r="F23" s="42"/>
      <c r="G23" s="43" t="s">
        <v>15</v>
      </c>
      <c r="H23" s="42"/>
      <c r="I23" s="44" t="s">
        <v>16</v>
      </c>
    </row>
    <row r="24" spans="2:9" ht="15.75" customHeight="1" x14ac:dyDescent="0.25">
      <c r="B24" s="20" t="s">
        <v>102</v>
      </c>
      <c r="C24" s="21" t="s">
        <v>56</v>
      </c>
      <c r="D24" s="21"/>
      <c r="E24" s="21"/>
      <c r="F24" s="22"/>
      <c r="G24" s="56" t="s">
        <v>42</v>
      </c>
      <c r="I24" s="38" t="s">
        <v>116</v>
      </c>
    </row>
    <row r="25" spans="2:9" ht="15.75" customHeight="1" x14ac:dyDescent="0.35">
      <c r="B25" s="20" t="s">
        <v>104</v>
      </c>
      <c r="C25" s="34" t="s">
        <v>85</v>
      </c>
      <c r="F25" s="22"/>
      <c r="G25" s="56"/>
      <c r="I25" s="38" t="s">
        <v>115</v>
      </c>
    </row>
    <row r="26" spans="2:9" ht="15.75" customHeight="1" x14ac:dyDescent="0.35">
      <c r="B26" s="20" t="s">
        <v>105</v>
      </c>
      <c r="C26" s="34" t="s">
        <v>57</v>
      </c>
      <c r="D26" s="21"/>
      <c r="E26" s="21"/>
      <c r="F26" s="22"/>
      <c r="G26" s="56"/>
      <c r="I26" s="38" t="s">
        <v>115</v>
      </c>
    </row>
    <row r="27" spans="2:9" ht="15.75" customHeight="1" x14ac:dyDescent="0.35">
      <c r="B27" s="20" t="s">
        <v>106</v>
      </c>
      <c r="C27" s="34" t="s">
        <v>84</v>
      </c>
      <c r="D27" s="21"/>
      <c r="E27" s="21"/>
      <c r="F27" s="22"/>
      <c r="G27" s="56"/>
      <c r="I27" s="38" t="s">
        <v>116</v>
      </c>
    </row>
    <row r="28" spans="2:9" ht="15.75" customHeight="1" x14ac:dyDescent="0.35">
      <c r="B28" s="20" t="s">
        <v>107</v>
      </c>
      <c r="C28" s="34" t="s">
        <v>58</v>
      </c>
      <c r="D28" s="21"/>
      <c r="E28" s="21"/>
      <c r="I28" s="38" t="s">
        <v>116</v>
      </c>
    </row>
    <row r="29" spans="2:9" ht="15.75" customHeight="1" x14ac:dyDescent="0.25">
      <c r="I29" s="36"/>
    </row>
    <row r="30" spans="2:9" ht="15.75" customHeight="1" x14ac:dyDescent="0.25">
      <c r="B30" s="33" t="s">
        <v>9</v>
      </c>
      <c r="C30" s="33" t="s">
        <v>1</v>
      </c>
      <c r="D30" s="33" t="s">
        <v>2</v>
      </c>
      <c r="E30" s="33" t="s">
        <v>10</v>
      </c>
      <c r="F30" s="33" t="s">
        <v>11</v>
      </c>
      <c r="G30" s="33" t="s">
        <v>5</v>
      </c>
      <c r="H30" s="33" t="s">
        <v>12</v>
      </c>
      <c r="I30" s="33" t="s">
        <v>13</v>
      </c>
    </row>
    <row r="31" spans="2:9" ht="47.4" customHeight="1" x14ac:dyDescent="0.25">
      <c r="B31" s="31" t="s">
        <v>77</v>
      </c>
      <c r="C31" s="31" t="s">
        <v>78</v>
      </c>
      <c r="D31" s="31" t="s">
        <v>20</v>
      </c>
      <c r="E31" s="31" t="s">
        <v>79</v>
      </c>
      <c r="F31" s="32" t="s">
        <v>82</v>
      </c>
      <c r="G31" s="29"/>
      <c r="H31" s="31" t="s">
        <v>8</v>
      </c>
      <c r="I31" s="41" t="s">
        <v>41</v>
      </c>
    </row>
    <row r="32" spans="2:9" ht="15.75" customHeight="1" x14ac:dyDescent="0.25">
      <c r="B32" s="52"/>
      <c r="C32" s="43" t="s">
        <v>14</v>
      </c>
      <c r="D32" s="42"/>
      <c r="E32" s="42"/>
      <c r="F32" s="42"/>
      <c r="G32" s="43" t="s">
        <v>15</v>
      </c>
      <c r="H32" s="42"/>
      <c r="I32" s="44" t="s">
        <v>16</v>
      </c>
    </row>
    <row r="33" spans="2:9" ht="15.75" customHeight="1" x14ac:dyDescent="0.25">
      <c r="B33" s="20" t="s">
        <v>103</v>
      </c>
      <c r="C33" s="21" t="s">
        <v>59</v>
      </c>
      <c r="D33" s="21"/>
      <c r="E33" s="21"/>
      <c r="F33" s="22"/>
      <c r="G33" s="55" t="s">
        <v>43</v>
      </c>
      <c r="I33" s="38" t="s">
        <v>117</v>
      </c>
    </row>
    <row r="34" spans="2:9" ht="15.75" customHeight="1" x14ac:dyDescent="0.35">
      <c r="B34" s="20" t="s">
        <v>108</v>
      </c>
      <c r="C34" s="34" t="s">
        <v>60</v>
      </c>
      <c r="D34" s="21"/>
      <c r="E34" s="21"/>
      <c r="F34" s="22"/>
      <c r="G34" s="55"/>
      <c r="I34" s="38" t="s">
        <v>115</v>
      </c>
    </row>
    <row r="35" spans="2:9" ht="15.75" customHeight="1" x14ac:dyDescent="0.35">
      <c r="B35" s="20" t="s">
        <v>109</v>
      </c>
      <c r="C35" s="34" t="s">
        <v>61</v>
      </c>
      <c r="D35" s="21"/>
      <c r="E35" s="21"/>
      <c r="F35" s="22"/>
      <c r="G35" s="55"/>
      <c r="I35" s="38" t="s">
        <v>117</v>
      </c>
    </row>
    <row r="36" spans="2:9" ht="15.75" customHeight="1" x14ac:dyDescent="0.35">
      <c r="B36" s="20" t="s">
        <v>110</v>
      </c>
      <c r="C36" s="34" t="s">
        <v>62</v>
      </c>
      <c r="D36" s="21"/>
      <c r="E36" s="21"/>
      <c r="F36" s="22"/>
      <c r="G36" s="55"/>
      <c r="I36" s="38" t="s">
        <v>115</v>
      </c>
    </row>
    <row r="37" spans="2:9" ht="15.75" customHeight="1" x14ac:dyDescent="0.25"/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8">
    <mergeCell ref="G5:G8"/>
    <mergeCell ref="G15:G19"/>
    <mergeCell ref="G24:G27"/>
    <mergeCell ref="G33:G36"/>
    <mergeCell ref="C5:F5"/>
    <mergeCell ref="C6:F6"/>
    <mergeCell ref="C7:F7"/>
    <mergeCell ref="C8:F8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5"/>
  <sheetViews>
    <sheetView zoomScale="85" zoomScaleNormal="85" workbookViewId="0">
      <selection activeCell="V37" sqref="V37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3"/>
      <c r="C3" s="49" t="s">
        <v>16</v>
      </c>
      <c r="D3" s="19" t="s">
        <v>86</v>
      </c>
      <c r="E3" s="19" t="s">
        <v>87</v>
      </c>
      <c r="F3" s="19" t="s">
        <v>88</v>
      </c>
      <c r="G3" s="19" t="s">
        <v>89</v>
      </c>
      <c r="H3" s="19" t="s">
        <v>90</v>
      </c>
      <c r="I3" s="19" t="s">
        <v>22</v>
      </c>
      <c r="J3" s="19" t="s">
        <v>23</v>
      </c>
      <c r="K3" s="19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91</v>
      </c>
      <c r="U3" s="3" t="s">
        <v>33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5" t="s">
        <v>39</v>
      </c>
      <c r="AB3" s="35" t="s">
        <v>40</v>
      </c>
      <c r="AC3" s="35" t="s">
        <v>92</v>
      </c>
      <c r="AD3" s="35" t="s">
        <v>93</v>
      </c>
      <c r="AE3" s="35" t="s">
        <v>94</v>
      </c>
      <c r="AF3" s="35" t="s">
        <v>95</v>
      </c>
      <c r="AG3" s="35" t="s">
        <v>96</v>
      </c>
      <c r="AH3" s="3" t="s">
        <v>17</v>
      </c>
    </row>
    <row r="4" spans="1:34" ht="15.75" customHeight="1" x14ac:dyDescent="0.25">
      <c r="B4" s="47" t="s">
        <v>48</v>
      </c>
      <c r="C4" s="46" t="s">
        <v>111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5">
        <f>SUM(D4:AG4)</f>
        <v>0</v>
      </c>
    </row>
    <row r="5" spans="1:34" ht="15.75" customHeight="1" x14ac:dyDescent="0.25">
      <c r="B5" s="47" t="s">
        <v>49</v>
      </c>
      <c r="C5" s="46" t="s">
        <v>112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5">
        <f>SUM(D5:AG5)</f>
        <v>0</v>
      </c>
    </row>
    <row r="6" spans="1:34" ht="15.75" customHeight="1" x14ac:dyDescent="0.25">
      <c r="A6" s="3"/>
      <c r="B6" s="47" t="s">
        <v>50</v>
      </c>
      <c r="C6" s="46" t="s">
        <v>113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5">
        <f>SUM(D6:AG6)</f>
        <v>0</v>
      </c>
    </row>
    <row r="7" spans="1:34" ht="15.75" customHeight="1" x14ac:dyDescent="0.25">
      <c r="B7" s="47" t="s">
        <v>51</v>
      </c>
      <c r="C7" s="46" t="s">
        <v>114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5">
        <f>SUM(D7:AG7)</f>
        <v>0</v>
      </c>
    </row>
    <row r="8" spans="1:34" ht="15.75" customHeight="1" x14ac:dyDescent="0.25">
      <c r="B8" s="2"/>
      <c r="C8" s="3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0"/>
    </row>
    <row r="9" spans="1:34" ht="15.75" customHeight="1" x14ac:dyDescent="0.25">
      <c r="B9" s="47" t="s">
        <v>97</v>
      </c>
      <c r="C9" s="46" t="s">
        <v>115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5">
        <f>SUM(D9:AG9)</f>
        <v>0</v>
      </c>
    </row>
    <row r="10" spans="1:34" ht="15.75" customHeight="1" x14ac:dyDescent="0.25">
      <c r="B10" s="47" t="s">
        <v>98</v>
      </c>
      <c r="C10" s="46" t="s">
        <v>115</v>
      </c>
      <c r="D10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5">
        <f t="shared" ref="AH10" si="0">SUM(D10:AG10)</f>
        <v>0</v>
      </c>
    </row>
    <row r="11" spans="1:34" ht="15.75" customHeight="1" x14ac:dyDescent="0.25">
      <c r="B11" s="47" t="s">
        <v>99</v>
      </c>
      <c r="C11" s="46" t="s">
        <v>115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5">
        <f>SUM(D11:AG11)</f>
        <v>0</v>
      </c>
    </row>
    <row r="12" spans="1:34" ht="15.75" customHeight="1" x14ac:dyDescent="0.25">
      <c r="B12" s="47" t="s">
        <v>100</v>
      </c>
      <c r="C12" s="46" t="s">
        <v>115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5">
        <f>SUM(D12:AG12)</f>
        <v>0</v>
      </c>
    </row>
    <row r="13" spans="1:34" ht="15.75" customHeight="1" x14ac:dyDescent="0.25">
      <c r="B13" s="48" t="s">
        <v>101</v>
      </c>
      <c r="C13" s="46" t="s">
        <v>115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5">
        <f>SUM(D13:AG13)</f>
        <v>0</v>
      </c>
    </row>
    <row r="14" spans="1:34" ht="15.75" customHeight="1" x14ac:dyDescent="0.25">
      <c r="C14" s="2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4" ht="15.75" customHeight="1" x14ac:dyDescent="0.25">
      <c r="B15" s="47" t="s">
        <v>102</v>
      </c>
      <c r="C15" s="46" t="s">
        <v>116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5">
        <f>SUM(D15:AG15)</f>
        <v>0</v>
      </c>
    </row>
    <row r="16" spans="1:34" ht="15.75" customHeight="1" x14ac:dyDescent="0.25">
      <c r="B16" s="47" t="s">
        <v>104</v>
      </c>
      <c r="C16" s="46" t="s">
        <v>115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5">
        <f>SUM(D16:AG16)</f>
        <v>0</v>
      </c>
    </row>
    <row r="17" spans="2:34" ht="15.75" customHeight="1" x14ac:dyDescent="0.25">
      <c r="B17" s="47" t="s">
        <v>105</v>
      </c>
      <c r="C17" s="46" t="s">
        <v>115</v>
      </c>
      <c r="D17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5">
        <f t="shared" ref="AH17" si="1">SUM(D17:AG17)</f>
        <v>0</v>
      </c>
    </row>
    <row r="18" spans="2:34" ht="15.75" customHeight="1" x14ac:dyDescent="0.25">
      <c r="B18" s="47" t="s">
        <v>106</v>
      </c>
      <c r="C18" s="46" t="s">
        <v>116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5">
        <f>SUM(D18:AG18)</f>
        <v>0</v>
      </c>
    </row>
    <row r="19" spans="2:34" ht="15.75" customHeight="1" x14ac:dyDescent="0.25">
      <c r="B19" s="47" t="s">
        <v>107</v>
      </c>
      <c r="C19" s="4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5">
        <f>SUM(D19:AG19)</f>
        <v>0</v>
      </c>
    </row>
    <row r="20" spans="2:34" ht="15.75" customHeight="1" x14ac:dyDescent="0.25">
      <c r="C20" s="2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2:34" ht="15.75" customHeight="1" x14ac:dyDescent="0.25">
      <c r="B21" s="47" t="s">
        <v>103</v>
      </c>
      <c r="C21" s="46" t="s">
        <v>117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5">
        <f>SUM(D21:AG21)</f>
        <v>0</v>
      </c>
    </row>
    <row r="22" spans="2:34" ht="15.75" customHeight="1" x14ac:dyDescent="0.25">
      <c r="B22" s="47" t="s">
        <v>108</v>
      </c>
      <c r="C22" s="46" t="s">
        <v>115</v>
      </c>
      <c r="D22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5">
        <f>SUM(D22:AG22)</f>
        <v>0</v>
      </c>
    </row>
    <row r="23" spans="2:34" ht="15.75" customHeight="1" x14ac:dyDescent="0.25">
      <c r="B23" s="47" t="s">
        <v>109</v>
      </c>
      <c r="C23" s="46" t="s">
        <v>117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5">
        <f t="shared" ref="AH23:AH28" si="2">SUM(D23:AG23)</f>
        <v>0</v>
      </c>
    </row>
    <row r="24" spans="2:34" ht="15.75" customHeight="1" x14ac:dyDescent="0.25">
      <c r="B24" s="47" t="s">
        <v>110</v>
      </c>
      <c r="C24" s="46" t="s">
        <v>115</v>
      </c>
      <c r="D2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5">
        <f t="shared" si="2"/>
        <v>0</v>
      </c>
    </row>
    <row r="25" spans="2:34" ht="15.75" customHeight="1" x14ac:dyDescent="0.25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17"/>
    </row>
    <row r="26" spans="2:34" ht="15.75" customHeight="1" x14ac:dyDescent="0.25">
      <c r="B26" s="2"/>
    </row>
    <row r="27" spans="2:34" ht="15.75" customHeight="1" x14ac:dyDescent="0.25">
      <c r="B27" s="6" t="s">
        <v>18</v>
      </c>
      <c r="C27">
        <f>SUM(C4:C25)</f>
        <v>5</v>
      </c>
      <c r="D27" s="3">
        <f t="shared" ref="D27:AG27" si="3">C27-SUM(D4:D6,D8:D9,D11:D13,D15:D16, D18:D19, D21, D23,D24,D22)</f>
        <v>5</v>
      </c>
      <c r="E27" s="3">
        <f t="shared" si="3"/>
        <v>5</v>
      </c>
      <c r="F27" s="3">
        <f t="shared" si="3"/>
        <v>5</v>
      </c>
      <c r="G27" s="3">
        <f t="shared" si="3"/>
        <v>5</v>
      </c>
      <c r="H27" s="3">
        <f t="shared" si="3"/>
        <v>5</v>
      </c>
      <c r="I27" s="3">
        <f t="shared" si="3"/>
        <v>5</v>
      </c>
      <c r="J27" s="3">
        <f t="shared" si="3"/>
        <v>5</v>
      </c>
      <c r="K27" s="3">
        <f t="shared" si="3"/>
        <v>5</v>
      </c>
      <c r="L27" s="3">
        <f t="shared" si="3"/>
        <v>5</v>
      </c>
      <c r="M27" s="3">
        <f t="shared" si="3"/>
        <v>5</v>
      </c>
      <c r="N27" s="3">
        <f t="shared" si="3"/>
        <v>5</v>
      </c>
      <c r="O27" s="3">
        <f t="shared" si="3"/>
        <v>5</v>
      </c>
      <c r="P27" s="3">
        <f t="shared" si="3"/>
        <v>5</v>
      </c>
      <c r="Q27" s="3">
        <f t="shared" si="3"/>
        <v>5</v>
      </c>
      <c r="R27" s="3">
        <f t="shared" si="3"/>
        <v>5</v>
      </c>
      <c r="S27" s="3">
        <f t="shared" si="3"/>
        <v>5</v>
      </c>
      <c r="T27" s="3">
        <f t="shared" si="3"/>
        <v>5</v>
      </c>
      <c r="U27" s="3">
        <f t="shared" si="3"/>
        <v>5</v>
      </c>
      <c r="V27" s="3">
        <f t="shared" si="3"/>
        <v>5</v>
      </c>
      <c r="W27" s="3">
        <f t="shared" si="3"/>
        <v>5</v>
      </c>
      <c r="X27" s="3">
        <f t="shared" si="3"/>
        <v>5</v>
      </c>
      <c r="Y27" s="3">
        <f t="shared" si="3"/>
        <v>5</v>
      </c>
      <c r="Z27" s="3">
        <f t="shared" si="3"/>
        <v>5</v>
      </c>
      <c r="AA27" s="3">
        <f t="shared" si="3"/>
        <v>5</v>
      </c>
      <c r="AB27" s="3">
        <f t="shared" si="3"/>
        <v>5</v>
      </c>
      <c r="AC27" s="3">
        <f t="shared" si="3"/>
        <v>5</v>
      </c>
      <c r="AD27" s="3">
        <f t="shared" si="3"/>
        <v>5</v>
      </c>
      <c r="AE27" s="3">
        <f t="shared" si="3"/>
        <v>5</v>
      </c>
      <c r="AF27" s="3">
        <f t="shared" si="3"/>
        <v>5</v>
      </c>
      <c r="AG27" s="3">
        <f t="shared" si="3"/>
        <v>5</v>
      </c>
      <c r="AH27" s="5">
        <f t="shared" si="2"/>
        <v>150</v>
      </c>
    </row>
    <row r="28" spans="2:34" ht="15.75" customHeight="1" x14ac:dyDescent="0.25">
      <c r="B28" s="6" t="s">
        <v>19</v>
      </c>
      <c r="C28">
        <f>SUM(C4:C25)</f>
        <v>5</v>
      </c>
      <c r="D28" s="16">
        <f>C28-(SUM($C$4:$C$6,$C$8:$C$9,$C$11:$C$13,$C$15:$C$16,$C$18:$C$19:$C$21,$C23:$C24, $C22)/30)</f>
        <v>4.833333333333333</v>
      </c>
      <c r="E28" s="16">
        <f>D28-(SUM($C$4:$C$6,$C$8:$C$9,$C$11:$C$13,$C$15:$C$16,$C$18:$C$19:$C$21,$C23:$C24, $C22)/30)</f>
        <v>4.6666666666666661</v>
      </c>
      <c r="F28" s="16">
        <f>E28-(SUM($C$4:$C$6,$C$8:$C$9,$C$11:$C$13,$C$15:$C$16,$C$18:$C$19:$C$21,$C23:$C24, $C22)/30)</f>
        <v>4.4999999999999991</v>
      </c>
      <c r="G28" s="16">
        <f>F28-(SUM($C$4:$C$6,$C$8:$C$9,$C$11:$C$13,$C$15:$C$16,$C$18:$C$19:$C$21,$C23:$C24, $C22)/30)</f>
        <v>4.3333333333333321</v>
      </c>
      <c r="H28" s="16">
        <f>G28-(SUM($C$4:$C$6,$C$8:$C$9,$C$11:$C$13,$C$15:$C$16,$C$18:$C$19:$C$21,$C23:$C24, $C22)/30)</f>
        <v>4.1666666666666652</v>
      </c>
      <c r="I28" s="16">
        <f>H28-(SUM($C$4:$C$6,$C$8:$C$9,$C$11:$C$13,$C$15:$C$16,$C$18:$C$19:$C$21,$C23:$C24, $C22)/30)</f>
        <v>3.9999999999999987</v>
      </c>
      <c r="J28" s="16">
        <f>I28-(SUM($C$4:$C$6,$C$8:$C$9,$C$11:$C$13,$C$15:$C$16,$C$18:$C$19:$C$21,$C23:$C24, $C22)/30)</f>
        <v>3.8333333333333321</v>
      </c>
      <c r="K28" s="16">
        <f>J28-(SUM($C$4:$C$6,$C$8:$C$9,$C$11:$C$13,$C$15:$C$16,$C$18:$C$19:$C$21,$C23:$C24, $C22)/30)</f>
        <v>3.6666666666666656</v>
      </c>
      <c r="L28" s="16">
        <f>K28-(SUM($C$4:$C$6,$C$8:$C$9,$C$11:$C$13,$C$15:$C$16,$C$18:$C$19:$C$21,$C23:$C24, $C22)/30)</f>
        <v>3.4999999999999991</v>
      </c>
      <c r="M28" s="16">
        <f>L28-(SUM($C$4:$C$6,$C$8:$C$9,$C$11:$C$13,$C$15:$C$16,$C$18:$C$19:$C$21,$C23:$C24, $C22)/30)</f>
        <v>3.3333333333333326</v>
      </c>
      <c r="N28" s="16">
        <f>M28-(SUM($C$4:$C$6,$C$8:$C$9,$C$11:$C$13,$C$15:$C$16,$C$18:$C$19:$C$21,$C23:$C24, $C22)/30)</f>
        <v>3.1666666666666661</v>
      </c>
      <c r="O28" s="16">
        <f>N28-(SUM($C$4:$C$6,$C$8:$C$9,$C$11:$C$13,$C$15:$C$16,$C$18:$C$19:$C$21,$C23:$C24, $C22)/30)</f>
        <v>2.9999999999999996</v>
      </c>
      <c r="P28" s="16">
        <f>O28-(SUM($C$4:$C$6,$C$8:$C$9,$C$11:$C$13,$C$15:$C$16,$C$18:$C$19:$C$21,$C23:$C24, $C22)/30)</f>
        <v>2.833333333333333</v>
      </c>
      <c r="Q28" s="16">
        <f>P28-(SUM($C$4:$C$6,$C$8:$C$9,$C$11:$C$13,$C$15:$C$16,$C$18:$C$19:$C$21,$C23:$C24, $C22)/30)</f>
        <v>2.6666666666666665</v>
      </c>
      <c r="R28" s="16">
        <f>Q28-(SUM($C$4:$C$6,$C$8:$C$9,$C$11:$C$13,$C$15:$C$16,$C$18:$C$19:$C$21,$C23:$C24, $C22)/30)</f>
        <v>2.5</v>
      </c>
      <c r="S28" s="16">
        <f>R28-(SUM($C$4:$C$6,$C$8:$C$9,$C$11:$C$13,$C$15:$C$16,$C$18:$C$19:$C$21,$C23:$C24, $C22)/30)</f>
        <v>2.3333333333333335</v>
      </c>
      <c r="T28" s="16">
        <f>S28-(SUM($C$4:$C$6,$C$8:$C$9,$C$11:$C$13,$C$15:$C$16,$C$18:$C$19:$C$21,$C23:$C24, $C22)/30)</f>
        <v>2.166666666666667</v>
      </c>
      <c r="U28" s="16">
        <f>T28-(SUM($C$4:$C$6,$C$8:$C$9,$C$11:$C$13,$C$15:$C$16,$C$18:$C$19:$C$21,$C23:$C24, $C22)/30)</f>
        <v>2.0000000000000004</v>
      </c>
      <c r="V28" s="16">
        <f>U28-(SUM($C$4:$C$6,$C$8:$C$9,$C$11:$C$13,$C$15:$C$16,$C$18:$C$19:$C$21,$C23:$C24, $C22)/30)</f>
        <v>1.8333333333333337</v>
      </c>
      <c r="W28" s="16">
        <f>V28-(SUM($C$4:$C$6,$C$8:$C$9,$C$11:$C$13,$C$15:$C$16,$C$18:$C$19:$C$21,$C23:$C24, $C22)/30)</f>
        <v>1.666666666666667</v>
      </c>
      <c r="X28" s="16">
        <f>W28-(SUM($C$4:$C$6,$C$8:$C$9,$C$11:$C$13,$C$15:$C$16,$C$18:$C$19:$C$21,$C23:$C24, $C22)/30)</f>
        <v>1.5000000000000002</v>
      </c>
      <c r="Y28" s="16">
        <f>X28-(SUM($C$4:$C$6,$C$8:$C$9,$C$11:$C$13,$C$15:$C$16,$C$18:$C$19:$C$21,$C23:$C24, $C22)/30)</f>
        <v>1.3333333333333335</v>
      </c>
      <c r="Z28" s="16">
        <f>Y28-(SUM($C$4:$C$6,$C$8:$C$9,$C$11:$C$13,$C$15:$C$16,$C$18:$C$19:$C$21,$C23:$C24, $C22)/30)</f>
        <v>1.1666666666666667</v>
      </c>
      <c r="AA28" s="16">
        <f>Z28-(SUM($C$4:$C$6,$C$8:$C$9,$C$11:$C$13,$C$15:$C$16,$C$18:$C$19:$C$21,$C23:$C24, $C22)/30)</f>
        <v>1</v>
      </c>
      <c r="AB28" s="16">
        <f>AA28-(SUM($C$4:$C$6,$C$8:$C$9,$C$11:$C$13,$C$15:$C$16,$C$18:$C$19:$C$21,$C23:$C24, $C22)/30)</f>
        <v>0.83333333333333337</v>
      </c>
      <c r="AC28" s="16">
        <f>AB28-(SUM($C$4:$C$6,$C$8:$C$9,$C$11:$C$13,$C$15:$C$16,$C$18:$C$19:$C$21,$C23:$C24, $C22)/30)</f>
        <v>0.66666666666666674</v>
      </c>
      <c r="AD28" s="16">
        <f>AC28-(SUM($C$4:$C$6,$C$8:$C$9,$C$11:$C$13,$C$15:$C$16,$C$18:$C$19:$C$21,$C23:$C24, $C22)/30)</f>
        <v>0.50000000000000011</v>
      </c>
      <c r="AE28" s="16">
        <f>AD28-(SUM($C$4:$C$6,$C$8:$C$9,$C$11:$C$13,$C$15:$C$16,$C$18:$C$19:$C$21,$C23:$C24, $C22)/30)</f>
        <v>0.33333333333333348</v>
      </c>
      <c r="AF28" s="16">
        <f>AE28-(SUM($C$4:$C$6,$C$8:$C$9,$C$11:$C$13,$C$15:$C$16,$C$18:$C$19:$C$21,$C23:$C24, $C22)/30)</f>
        <v>0.16666666666666682</v>
      </c>
      <c r="AG28" s="16">
        <f>AF28-(SUM($C$4:$C$6,$C$8:$C$9,$C$11:$C$13,$C$15:$C$16,$C$18:$C$19:$C$21,$C23:$C24, $C22)/30)</f>
        <v>0</v>
      </c>
      <c r="AH28" s="5">
        <f t="shared" si="2"/>
        <v>72.5</v>
      </c>
    </row>
    <row r="29" spans="2:34" ht="15.75" customHeight="1" x14ac:dyDescent="0.25"/>
    <row r="30" spans="2:34" ht="15.75" customHeight="1" x14ac:dyDescent="0.25"/>
    <row r="31" spans="2:34" ht="15.75" customHeight="1" x14ac:dyDescent="0.25"/>
    <row r="32" spans="2:34" ht="15.75" customHeight="1" x14ac:dyDescent="0.25">
      <c r="B32" s="11"/>
      <c r="C32" s="3"/>
      <c r="D32" s="3"/>
      <c r="E32" s="3"/>
      <c r="F32" s="3"/>
      <c r="G32" s="3"/>
      <c r="H32" s="3"/>
    </row>
    <row r="33" spans="2:8" ht="15.75" customHeight="1" x14ac:dyDescent="0.25"/>
    <row r="34" spans="2:8" ht="15.75" customHeight="1" x14ac:dyDescent="0.25">
      <c r="B34" s="11"/>
      <c r="C34" s="3"/>
      <c r="D34" s="3"/>
      <c r="E34" s="3"/>
      <c r="F34" s="3"/>
      <c r="G34" s="3"/>
      <c r="H34" s="3"/>
    </row>
    <row r="35" spans="2:8" ht="15.75" customHeight="1" x14ac:dyDescent="0.25">
      <c r="B35" s="11"/>
      <c r="C35" s="3"/>
      <c r="D35" s="3"/>
      <c r="E35" s="3"/>
      <c r="F35" s="3"/>
      <c r="G35" s="3"/>
      <c r="H35" s="3"/>
    </row>
    <row r="36" spans="2:8" ht="15.75" customHeight="1" x14ac:dyDescent="0.25"/>
    <row r="37" spans="2:8" ht="15.75" customHeight="1" x14ac:dyDescent="0.25">
      <c r="B37" s="18"/>
      <c r="C37" s="18"/>
      <c r="D37" s="18"/>
      <c r="E37" s="18"/>
      <c r="F37" s="18"/>
      <c r="G37" s="18"/>
    </row>
    <row r="38" spans="2:8" ht="15.75" customHeight="1" x14ac:dyDescent="0.25">
      <c r="B38" s="18"/>
      <c r="C38" s="18"/>
      <c r="D38" s="18"/>
      <c r="E38" s="18"/>
      <c r="F38" s="18"/>
      <c r="G38" s="18"/>
    </row>
    <row r="39" spans="2:8" ht="15.75" customHeight="1" x14ac:dyDescent="0.25">
      <c r="B39" s="18"/>
      <c r="C39" s="18"/>
      <c r="D39" s="18"/>
      <c r="E39" s="18"/>
      <c r="F39" s="18"/>
      <c r="G39" s="18"/>
    </row>
    <row r="40" spans="2:8" ht="15.75" customHeight="1" x14ac:dyDescent="0.25">
      <c r="B40" s="18"/>
      <c r="C40" s="18"/>
      <c r="D40" s="18"/>
      <c r="E40" s="18"/>
      <c r="F40" s="18"/>
      <c r="G40" s="18"/>
    </row>
    <row r="41" spans="2:8" ht="15.75" customHeight="1" x14ac:dyDescent="0.25">
      <c r="B41" s="18"/>
      <c r="C41" s="18"/>
      <c r="D41" s="18"/>
      <c r="E41" s="18"/>
      <c r="F41" s="18"/>
      <c r="G41" s="18"/>
    </row>
    <row r="42" spans="2:8" ht="15.75" customHeight="1" x14ac:dyDescent="0.25">
      <c r="B42" s="18"/>
      <c r="C42" s="18"/>
      <c r="D42" s="18"/>
      <c r="E42" s="18"/>
      <c r="F42" s="18"/>
      <c r="G42" s="18"/>
    </row>
    <row r="43" spans="2:8" ht="15.75" customHeight="1" x14ac:dyDescent="0.25">
      <c r="B43" s="18"/>
      <c r="C43" s="18"/>
      <c r="D43" s="18"/>
      <c r="E43" s="18"/>
      <c r="F43" s="18"/>
      <c r="G43" s="18"/>
    </row>
    <row r="44" spans="2:8" ht="15.75" customHeight="1" x14ac:dyDescent="0.25">
      <c r="B44" s="18"/>
      <c r="C44" s="18"/>
      <c r="D44" s="18"/>
      <c r="E44" s="18"/>
      <c r="F44" s="18"/>
      <c r="G44" s="18"/>
    </row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Cristian Becerra</cp:lastModifiedBy>
  <dcterms:created xsi:type="dcterms:W3CDTF">2023-06-05T13:12:31Z</dcterms:created>
  <dcterms:modified xsi:type="dcterms:W3CDTF">2025-11-28T03:14:43Z</dcterms:modified>
</cp:coreProperties>
</file>