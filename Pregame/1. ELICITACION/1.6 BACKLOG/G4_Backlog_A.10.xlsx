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AD470B3F-C6A6-42A9-8A15-95F19A292BB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ACKLOG" sheetId="1" r:id="rId1"/>
    <sheet name="SPRINT" sheetId="2" r:id="rId2"/>
    <sheet name="BURDONCHA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7" i="3" l="1"/>
  <c r="AH10" i="3"/>
  <c r="AH17" i="3"/>
  <c r="AH23" i="3"/>
  <c r="AH24" i="3"/>
  <c r="AH22" i="3"/>
  <c r="C28" i="3"/>
  <c r="C27" i="3"/>
  <c r="D28" i="3" l="1"/>
  <c r="D27" i="3"/>
  <c r="E27" i="3" l="1"/>
  <c r="F27" i="3" s="1"/>
  <c r="G27" i="3" s="1"/>
  <c r="H27" i="3" s="1"/>
  <c r="I27" i="3" s="1"/>
  <c r="J27" i="3" s="1"/>
  <c r="K27" i="3" s="1"/>
  <c r="L27" i="3" s="1"/>
  <c r="M27" i="3" s="1"/>
  <c r="N27" i="3" s="1"/>
  <c r="O27" i="3" s="1"/>
  <c r="P27" i="3" s="1"/>
  <c r="Q27" i="3" s="1"/>
  <c r="R27" i="3" s="1"/>
  <c r="S27" i="3" s="1"/>
  <c r="T27" i="3" s="1"/>
  <c r="U27" i="3" s="1"/>
  <c r="V27" i="3" s="1"/>
  <c r="W27" i="3" s="1"/>
  <c r="X27" i="3" s="1"/>
  <c r="Y27" i="3" s="1"/>
  <c r="Z27" i="3" s="1"/>
  <c r="AA27" i="3" s="1"/>
  <c r="AB27" i="3" s="1"/>
  <c r="AC27" i="3" s="1"/>
  <c r="AD27" i="3" s="1"/>
  <c r="AE27" i="3" s="1"/>
  <c r="AF27" i="3" s="1"/>
  <c r="AG27" i="3" s="1"/>
  <c r="E28" i="3"/>
  <c r="F28" i="3" s="1"/>
  <c r="G28" i="3" s="1"/>
  <c r="H28" i="3" s="1"/>
  <c r="I28" i="3" s="1"/>
  <c r="J28" i="3" s="1"/>
  <c r="K28" i="3" s="1"/>
  <c r="L28" i="3" s="1"/>
  <c r="M28" i="3" s="1"/>
  <c r="N28" i="3" s="1"/>
  <c r="O28" i="3" s="1"/>
  <c r="P28" i="3" s="1"/>
  <c r="Q28" i="3" s="1"/>
  <c r="R28" i="3" s="1"/>
  <c r="S28" i="3" s="1"/>
  <c r="T28" i="3" s="1"/>
  <c r="U28" i="3" s="1"/>
  <c r="V28" i="3" s="1"/>
  <c r="W28" i="3" s="1"/>
  <c r="X28" i="3" s="1"/>
  <c r="Y28" i="3" s="1"/>
  <c r="Z28" i="3" s="1"/>
  <c r="AA28" i="3" s="1"/>
  <c r="AB28" i="3" s="1"/>
  <c r="AC28" i="3" s="1"/>
  <c r="AD28" i="3" s="1"/>
  <c r="AE28" i="3" s="1"/>
  <c r="AF28" i="3" s="1"/>
  <c r="AG28" i="3" s="1"/>
  <c r="AH4" i="3"/>
  <c r="AH21" i="3"/>
  <c r="AH19" i="3"/>
  <c r="AH18" i="3"/>
  <c r="AH27" i="3" l="1"/>
  <c r="AH28" i="3"/>
  <c r="AH16" i="3"/>
  <c r="AH15" i="3"/>
  <c r="AH13" i="3"/>
  <c r="AH12" i="3"/>
  <c r="AH11" i="3"/>
  <c r="AH9" i="3"/>
  <c r="AH5" i="3" l="1"/>
  <c r="AH6" i="3"/>
</calcChain>
</file>

<file path=xl/sharedStrings.xml><?xml version="1.0" encoding="utf-8"?>
<sst xmlns="http://schemas.openxmlformats.org/spreadsheetml/2006/main" count="400" uniqueCount="183">
  <si>
    <t>t</t>
  </si>
  <si>
    <t>Tema</t>
  </si>
  <si>
    <t>Como un..</t>
  </si>
  <si>
    <t>necesito</t>
  </si>
  <si>
    <t>asi podre...</t>
  </si>
  <si>
    <t>notas</t>
  </si>
  <si>
    <t>prioridad</t>
  </si>
  <si>
    <t>estatus</t>
  </si>
  <si>
    <t>Alta</t>
  </si>
  <si>
    <t>ID</t>
  </si>
  <si>
    <t>Necesito</t>
  </si>
  <si>
    <t>así podre...</t>
  </si>
  <si>
    <t>Prioridad</t>
  </si>
  <si>
    <t>Status</t>
  </si>
  <si>
    <t>Tareas</t>
  </si>
  <si>
    <t>Asignado</t>
  </si>
  <si>
    <t>Estimado</t>
  </si>
  <si>
    <t>Total de Horas</t>
  </si>
  <si>
    <t>Horas Estimadas</t>
  </si>
  <si>
    <t>Horas Estimadas
Restantes</t>
  </si>
  <si>
    <t>Administrador</t>
  </si>
  <si>
    <t>SPRINT 1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</si>
  <si>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</si>
  <si>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</si>
  <si>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</si>
  <si>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</si>
  <si>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</si>
  <si>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</si>
  <si>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</si>
  <si>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</si>
  <si>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</si>
  <si>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Día 15</t>
  </si>
  <si>
    <t>Día 16</t>
  </si>
  <si>
    <t>Día 18</t>
  </si>
  <si>
    <t>Día 19</t>
  </si>
  <si>
    <t>Día 20</t>
  </si>
  <si>
    <t>Día 21</t>
  </si>
  <si>
    <t>Día 22</t>
  </si>
  <si>
    <t>Día 23</t>
  </si>
  <si>
    <t>Día 24</t>
  </si>
  <si>
    <t>Día 25</t>
  </si>
  <si>
    <t>En proceso</t>
  </si>
  <si>
    <t>Ismael Silva</t>
  </si>
  <si>
    <t>Kevin Castillo</t>
  </si>
  <si>
    <t>Cristian Becerra</t>
  </si>
  <si>
    <t>RQ001-1</t>
  </si>
  <si>
    <t>RQ001-2</t>
  </si>
  <si>
    <t>RQ001-3</t>
  </si>
  <si>
    <t>RQ001-4</t>
  </si>
  <si>
    <t>Cada pedido debe mostrar detalles completos de la comanda</t>
  </si>
  <si>
    <t>RQ001</t>
  </si>
  <si>
    <t>Ingresar al sistema mediante credenciales</t>
  </si>
  <si>
    <t>Garantizar que solo usuarios autorizados accedan.</t>
  </si>
  <si>
    <t>SPRINT 2</t>
  </si>
  <si>
    <t>RQ002</t>
  </si>
  <si>
    <t>Gestión de Comandas</t>
  </si>
  <si>
    <t xml:space="preserve">Registrar comandas en una interfaz con el menu. </t>
  </si>
  <si>
    <t xml:space="preserve"> Reducir errores y agilizar la toma de pedidos.</t>
  </si>
  <si>
    <t>SPRINT 3</t>
  </si>
  <si>
    <t>RQ003</t>
  </si>
  <si>
    <t>Vizualizar las comandas y el estado en tiempo real.</t>
  </si>
  <si>
    <t>SPRINT 4</t>
  </si>
  <si>
    <t>RQ004</t>
  </si>
  <si>
    <t>Reportes Diarios</t>
  </si>
  <si>
    <t>Generar reportes con informacion relevante de las comandas.</t>
  </si>
  <si>
    <t xml:space="preserve"> Analizar los reportes diarios, para un mejor control de las comandas 
realizadas y sus totales.</t>
  </si>
  <si>
    <t xml:space="preserve"> Analizar los reportes diarios, para un mejor control de las comandas realizadas y sus totales.</t>
  </si>
  <si>
    <t>Día 1</t>
  </si>
  <si>
    <t>Día 2</t>
  </si>
  <si>
    <t>Día 3</t>
  </si>
  <si>
    <t>Día 4</t>
  </si>
  <si>
    <t>Día 5</t>
  </si>
  <si>
    <t>Dia 17</t>
  </si>
  <si>
    <t>Dia 26</t>
  </si>
  <si>
    <t>Dia 27</t>
  </si>
  <si>
    <t>Dia 28</t>
  </si>
  <si>
    <t>Dia 29</t>
  </si>
  <si>
    <t>Dia 30</t>
  </si>
  <si>
    <t>RQ002-1</t>
  </si>
  <si>
    <t>RQ002-2</t>
  </si>
  <si>
    <t>RQ002-3</t>
  </si>
  <si>
    <t>RQ002-4</t>
  </si>
  <si>
    <t>RQ002-5</t>
  </si>
  <si>
    <t>RQ003-1</t>
  </si>
  <si>
    <t>RQ004-1</t>
  </si>
  <si>
    <t>RQ003-2</t>
  </si>
  <si>
    <t>RQ003-3</t>
  </si>
  <si>
    <t>RQ003-4</t>
  </si>
  <si>
    <t>RQ003-5</t>
  </si>
  <si>
    <t>RQ004-2</t>
  </si>
  <si>
    <t>RQ004-3</t>
  </si>
  <si>
    <t>RQ004-4</t>
  </si>
  <si>
    <t>90min</t>
  </si>
  <si>
    <t xml:space="preserve">30min </t>
  </si>
  <si>
    <t>1h</t>
  </si>
  <si>
    <t>2h</t>
  </si>
  <si>
    <t>4h</t>
  </si>
  <si>
    <t>5h</t>
  </si>
  <si>
    <t>3h</t>
  </si>
  <si>
    <t>Visualizar las comandas y el estado en tiempo real.</t>
  </si>
  <si>
    <t xml:space="preserve"> Visualizar y tener un seguimiento del estado actual de la comanda. </t>
  </si>
  <si>
    <t>Inicio de sesión</t>
  </si>
  <si>
    <t>Visualización de Comandas</t>
  </si>
  <si>
    <t>El sistema debe validar que el usuario y la contraseña ingresados sean correctos</t>
  </si>
  <si>
    <t xml:space="preserve"> </t>
  </si>
  <si>
    <t>El campo de contraseña debe mostrarse enmascarado con asteriscos por seguridad (••••)</t>
  </si>
  <si>
    <t>El sistema debe mostrar el mensaje 'Credenciales incorrectas' cuando las credenciales sean inválidas</t>
  </si>
  <si>
    <t>El sistema debe bloquearse automáticamente por 30 segundos después de 3 intentos fallidos de inicio de sesión</t>
  </si>
  <si>
    <t>La pantalla debe mostrar dos secciones: "Pedidos en Proceso" en rojo y "Pedidos Listos" en verde</t>
  </si>
  <si>
    <t>El botón "Realizado" debe cambiar pedidos de "en proceso" a "Realizados"</t>
  </si>
  <si>
    <t>El botón "Generar reporte" debe mostrar el reporte en formato PDF</t>
  </si>
  <si>
    <t>La interfaz debe mostrar todos los productos con precios visibles y un selector de cantidades</t>
  </si>
  <si>
    <t>La comanda debe permitir recolectar datos del pedido, incluyendo nombre del cliente, platos, cantidades y precios</t>
  </si>
  <si>
    <t>La interfaz debe incluir un campo para comentarios o peticiones especiales del cliente</t>
  </si>
  <si>
    <t>El resumen debe mostrar la comanda con cálculo automático del precio total</t>
  </si>
  <si>
    <t>El botón de confirmación debe generar y guardar la comanda en la base de datos</t>
  </si>
  <si>
    <t>Los pedidos deben organizarse en orden de llegada</t>
  </si>
  <si>
    <t>Los cambios deben reflejarse en tiempo real al actualizar el estado</t>
  </si>
  <si>
    <t>El reporte debe generar un listado diario con platos vendidos, precios y cantidades</t>
  </si>
  <si>
    <t>El reporte debe calcular y mostrar el total general de ventas del día</t>
  </si>
  <si>
    <t>El reporte debe incluir datos de hora de cada comanda generada</t>
  </si>
  <si>
    <t>Crear la interfaz de generador de reportes diarios que contendra la busqueda por fecha, tipo de reporte y el botón generar reporte</t>
  </si>
  <si>
    <t>RQ005</t>
  </si>
  <si>
    <t>Actualización de Credenciales</t>
  </si>
  <si>
    <t>Modificar credenciales (usuario y contraseña) de cada empleado.</t>
  </si>
  <si>
    <t>Garantizar que los usuarios puedan mantener sus datos de acceso actualizados y seguros.</t>
  </si>
  <si>
    <t>Media</t>
  </si>
  <si>
    <t>Pendiente</t>
  </si>
  <si>
    <t>RQ005-1</t>
  </si>
  <si>
    <t>RQ005-2</t>
  </si>
  <si>
    <t>RQ005-3</t>
  </si>
  <si>
    <t>RQ005-4</t>
  </si>
  <si>
    <t>RQ005-5</t>
  </si>
  <si>
    <t>RQ006</t>
  </si>
  <si>
    <t>Crear apartados en la pantalla con dos botones: "Cambiar Usuario" y "Cambiar Contraseña"</t>
  </si>
  <si>
    <t>Para contraseña, pedirla dos veces (Nueva Contraseña y Confirmar Contraseña) para evitar errores</t>
  </si>
  <si>
    <t>Creacion del boton "Guardar Cambios" debe actualizar las credenciales en la base de datos si todas las validaciones son exitosas</t>
  </si>
  <si>
    <t>Mostrar mensaje de "Cambio exitoso" y permitir entrar al sistema con las nuevas credenciales</t>
  </si>
  <si>
    <t>El sistema debe validar cuando se ingrese en cualquier botón, mostrar preguntas de seguridad para confirmar su identidad</t>
  </si>
  <si>
    <t>SPRINT 6</t>
  </si>
  <si>
    <t>Modificar mis credenciales (usuario y contraseña) de forma segura</t>
  </si>
  <si>
    <t>Mantener mis datos de acceso actualizados y protegidos</t>
  </si>
  <si>
    <t>RQ007</t>
  </si>
  <si>
    <t>Control de Tiempos</t>
  </si>
  <si>
    <t>Registrar y visualizar el tiempo de preparación de cada comanda</t>
  </si>
  <si>
    <t>Medir la eficiencia del servicio y optimizar tiempos de atención</t>
  </si>
  <si>
    <t>RQ007-1</t>
  </si>
  <si>
    <t>Modificar la base de datos para agregar campos de hora de inicio y fin a cada comanda</t>
  </si>
  <si>
    <t>RQ007-2</t>
  </si>
  <si>
    <t>Configurar sistema para registrar hora automática al crear nueva comanda</t>
  </si>
  <si>
    <t>RQ007-3</t>
  </si>
  <si>
    <t>Al marcar comanda como "Realizado", registrar hora final y calcular tiempo total</t>
  </si>
  <si>
    <t>RQ007-4</t>
  </si>
  <si>
    <t>Mostrar tiempo transcurrido en pantalla de seguimiento de comandas</t>
  </si>
  <si>
    <t>RQ008</t>
  </si>
  <si>
    <t>Categorización Menú</t>
  </si>
  <si>
    <t>Organizar los platos en categorías (entradas, principales, postres, bebidas)</t>
  </si>
  <si>
    <t>Facilitar la navegación y selección de platos para agilizar pedidos</t>
  </si>
  <si>
    <t>RQ008-1</t>
  </si>
  <si>
    <t>Crear tabla de categorías en base de datos y relación con productos</t>
  </si>
  <si>
    <t>RQ008-2</t>
  </si>
  <si>
    <t>Desarrollar interfaz de administración para crear/editar categorías</t>
  </si>
  <si>
    <t>RQ008-4</t>
  </si>
  <si>
    <t>Implementar filtrado de productos por categoría seleccionada</t>
  </si>
  <si>
    <t>SPRINT 7</t>
  </si>
  <si>
    <t>SPRINT 5</t>
  </si>
  <si>
    <t>Registrar tiempo de preparación de cada comanda</t>
  </si>
  <si>
    <t>Medir eficiencia y optimizar tiempos de atención</t>
  </si>
  <si>
    <t>Organizar platos en categorías</t>
  </si>
  <si>
    <t>Facilitar navegación y agilizar pedidos</t>
  </si>
  <si>
    <t>SPRINT 8</t>
  </si>
  <si>
    <t>RQ006-1</t>
  </si>
  <si>
    <t>RQ006-2</t>
  </si>
  <si>
    <t>RQ006-3</t>
  </si>
  <si>
    <t>RQ006-4</t>
  </si>
  <si>
    <t>RQ006-5</t>
  </si>
  <si>
    <t>Gestión de Roles de Usuario</t>
  </si>
  <si>
    <t>asignar un rol de usuario dependiendo del cargo y su acceso a diferentes interfaces</t>
  </si>
  <si>
    <t>segmentar el acceso a las diferentes funcionalidades del sistema</t>
  </si>
  <si>
    <t>Diseñar y desarrollar un formulario de gestión de usuarios que permita crear y editar usuarios, asignándoles un rol específico según su cargo</t>
  </si>
  <si>
    <t>Definir y configurar los diferentes roles del sistema (ej: Administrador, Cajero, Mesero, Cocina), con sus respectivos permisos y accesos a interfaces</t>
  </si>
  <si>
    <t>Implementar la lógica de restricción de acceso, donde cada rol solo pueda ver y usar las interfaces y funcionalidades asignadas</t>
  </si>
  <si>
    <t>Verificar que al iniciar sesión, cada usuario solo tenga acceso a las opciones de su rol, bloqueando las demás secciones del sistema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</si>
</sst>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25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sz val="10"/>
      <color theme="1"/>
      <name val="Arial"/>
      <family val="2"/>
    </font>
    <font>
      <sz val="8"/>
      <name val="Arial"/>
      <family val="2"/>
      <scheme val="minor"/>
    </font>
    <font>
      <b/>
      <sz val="12"/>
      <color rgb="FFFF0000"/>
      <name val="Arial"/>
      <family val="2"/>
    </font>
    <font>
      <sz val="12"/>
      <color rgb="FFFF0000"/>
      <name val="Arial"/>
      <family val="2"/>
      <scheme val="minor"/>
    </font>
    <font>
      <sz val="10"/>
      <color theme="4" tint="-0.249977111117893"/>
      <name val="Arial"/>
      <family val="2"/>
    </font>
    <font>
      <sz val="10"/>
      <color theme="4" tint="-0.249977111117893"/>
      <name val="Arial"/>
      <family val="2"/>
      <scheme val="minor"/>
    </font>
    <font>
      <b/>
      <sz val="10"/>
      <color theme="4" tint="-0.249977111117893"/>
      <name val="Arial"/>
      <family val="2"/>
    </font>
    <font>
      <sz val="8"/>
      <name val="Arial"/>
      <family val="2"/>
      <scheme val="minor"/>
    </font>
    <font>
      <sz val="11"/>
      <color theme="1"/>
      <name val="Arial"/>
      <family val="2"/>
    </font>
    <font>
      <sz val="10"/>
      <color theme="8" tint="-0.249977111117893"/>
      <name val="Arial"/>
      <family val="2"/>
      <scheme val="minor"/>
    </font>
    <font>
      <b/>
      <sz val="10"/>
      <color rgb="FFFF0000"/>
      <name val="Arial"/>
      <family val="2"/>
      <scheme val="minor"/>
    </font>
    <font>
      <b/>
      <sz val="10"/>
      <color rgb="FF0070C0"/>
      <name val="Arial"/>
      <family val="2"/>
    </font>
    <font>
      <b/>
      <sz val="10"/>
      <color rgb="FF0070C0"/>
      <name val="Arial"/>
      <family val="2"/>
      <scheme val="minor"/>
    </font>
    <font>
      <b/>
      <sz val="10"/>
      <color theme="4" tint="-0.249977111117893"/>
      <name val="Arial"/>
      <family val="2"/>
      <scheme val="minor"/>
    </font>
    <font>
      <sz val="10"/>
      <color theme="4" tint="-0.249977111117893"/>
      <name val="Arial"/>
      <family val="2"/>
      <scheme val="major"/>
    </font>
    <font>
      <sz val="10"/>
      <color theme="4"/>
      <name val="Arial"/>
      <family val="2"/>
      <scheme val="major"/>
    </font>
    <font>
      <sz val="10"/>
      <color rgb="FF000000"/>
      <name val="Arial"/>
      <family val="2"/>
      <scheme val="major"/>
    </font>
    <font>
      <b/>
      <sz val="10"/>
      <color theme="1"/>
      <name val="Arial"/>
      <family val="2"/>
      <scheme val="major"/>
    </font>
    <font>
      <b/>
      <sz val="10"/>
      <color theme="4"/>
      <name val="Arial"/>
      <family val="2"/>
      <scheme val="major"/>
    </font>
    <font>
      <sz val="10"/>
      <color theme="1"/>
      <name val="Arial"/>
      <family val="2"/>
      <scheme val="major"/>
    </font>
    <font>
      <sz val="10"/>
      <color rgb="FF000000"/>
      <name val="Arial"/>
      <family val="2"/>
      <scheme val="minor"/>
    </font>
    <font>
      <sz val="10"/>
      <color theme="4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6AA84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rgb="FF6AA84F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rgb="FF00FF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D9595"/>
        <bgColor indexed="64"/>
      </patternFill>
    </fill>
    <fill>
      <patternFill patternType="solid">
        <fgColor rgb="FFFFC5C5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66FFFF"/>
        <bgColor indexed="64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6" tint="0.79998168889431442"/>
      </left>
      <right style="thin">
        <color theme="6" tint="0.79998168889431442"/>
      </right>
      <top style="thin">
        <color theme="6" tint="0.79998168889431442"/>
      </top>
      <bottom style="thin">
        <color theme="6" tint="0.79998168889431442"/>
      </bottom>
      <diagonal/>
    </border>
    <border>
      <left style="thin">
        <color theme="6"/>
      </left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 style="thin">
        <color theme="6"/>
      </right>
      <top style="thin">
        <color theme="6" tint="0.79998168889431442"/>
      </top>
      <bottom style="thin">
        <color theme="6" tint="0.79998168889431442"/>
      </bottom>
      <diagonal/>
    </border>
    <border>
      <left style="thin">
        <color theme="6" tint="0.79998168889431442"/>
      </left>
      <right/>
      <top style="thin">
        <color theme="6" tint="0.79998168889431442"/>
      </top>
      <bottom style="thin">
        <color theme="6" tint="0.79998168889431442"/>
      </bottom>
      <diagonal/>
    </border>
    <border>
      <left style="thin">
        <color indexed="64"/>
      </left>
      <right style="thin">
        <color indexed="64"/>
      </right>
      <top style="thin">
        <color theme="6" tint="0.79998168889431442"/>
      </top>
      <bottom style="thin">
        <color theme="6" tint="0.79998168889431442"/>
      </bottom>
      <diagonal/>
    </border>
    <border>
      <left/>
      <right style="thin">
        <color theme="6" tint="0.79998168889431442"/>
      </right>
      <top style="thin">
        <color theme="6" tint="0.79998168889431442"/>
      </top>
      <bottom style="thin">
        <color theme="6" tint="0.79998168889431442"/>
      </bottom>
      <diagonal/>
    </border>
    <border>
      <left/>
      <right style="thin">
        <color indexed="64"/>
      </right>
      <top style="thin">
        <color theme="6" tint="0.79998168889431442"/>
      </top>
      <bottom style="thin">
        <color theme="6" tint="0.79998168889431442"/>
      </bottom>
      <diagonal/>
    </border>
    <border>
      <left style="thin">
        <color indexed="64"/>
      </left>
      <right style="thin">
        <color theme="6" tint="0.79998168889431442"/>
      </right>
      <top style="thin">
        <color theme="6" tint="0.79998168889431442"/>
      </top>
      <bottom style="thin">
        <color theme="6" tint="0.79998168889431442"/>
      </bottom>
      <diagonal/>
    </border>
    <border>
      <left style="thin">
        <color theme="6" tint="0.79998168889431442"/>
      </left>
      <right/>
      <top/>
      <bottom/>
      <diagonal/>
    </border>
    <border>
      <left/>
      <right/>
      <top style="thin">
        <color theme="6" tint="0.79998168889431442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6" tint="0.7999816888943144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0" fontId="11" fillId="0" borderId="1"/>
  </cellStyleXfs>
  <cellXfs count="135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1" xfId="0" applyFont="1" applyFill="1" applyBorder="1" applyAlignment="1">
      <alignment horizontal="right"/>
    </xf>
    <xf numFmtId="0" fontId="3" fillId="3" borderId="1" xfId="0" applyFont="1" applyFill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3" fillId="0" borderId="1" xfId="0" applyFont="1" applyBorder="1"/>
    <xf numFmtId="0" fontId="12" fillId="0" borderId="0" xfId="0" applyFont="1"/>
    <xf numFmtId="164" fontId="3" fillId="0" borderId="0" xfId="0" applyNumberFormat="1" applyFont="1"/>
    <xf numFmtId="0" fontId="3" fillId="0" borderId="1" xfId="0" applyFont="1" applyBorder="1" applyAlignment="1">
      <alignment horizontal="right"/>
    </xf>
    <xf numFmtId="0" fontId="8" fillId="0" borderId="0" xfId="0" applyFont="1" applyAlignment="1">
      <alignment vertical="center" wrapText="1"/>
    </xf>
    <xf numFmtId="0" fontId="3" fillId="4" borderId="0" xfId="0" applyFont="1" applyFill="1"/>
    <xf numFmtId="0" fontId="0" fillId="0" borderId="0" xfId="0" applyAlignment="1">
      <alignment horizontal="center" vertical="center"/>
    </xf>
    <xf numFmtId="0" fontId="14" fillId="6" borderId="0" xfId="0" applyFont="1" applyFill="1"/>
    <xf numFmtId="0" fontId="1" fillId="5" borderId="0" xfId="0" applyFont="1" applyFill="1" applyAlignment="1">
      <alignment horizontal="center"/>
    </xf>
    <xf numFmtId="0" fontId="3" fillId="7" borderId="0" xfId="0" applyFont="1" applyFill="1"/>
    <xf numFmtId="0" fontId="0" fillId="0" borderId="0" xfId="0" applyAlignment="1">
      <alignment horizontal="center"/>
    </xf>
    <xf numFmtId="0" fontId="3" fillId="8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4" fillId="6" borderId="0" xfId="0" applyFont="1" applyFill="1" applyAlignment="1">
      <alignment horizontal="center"/>
    </xf>
    <xf numFmtId="0" fontId="7" fillId="9" borderId="0" xfId="0" applyFont="1" applyFill="1"/>
    <xf numFmtId="0" fontId="9" fillId="9" borderId="0" xfId="0" applyFont="1" applyFill="1"/>
    <xf numFmtId="0" fontId="9" fillId="9" borderId="0" xfId="0" applyFont="1" applyFill="1" applyAlignment="1">
      <alignment horizontal="center"/>
    </xf>
    <xf numFmtId="0" fontId="3" fillId="10" borderId="1" xfId="0" applyFont="1" applyFill="1" applyBorder="1" applyAlignment="1">
      <alignment horizontal="center" vertical="center"/>
    </xf>
    <xf numFmtId="0" fontId="8" fillId="11" borderId="0" xfId="0" applyFont="1" applyFill="1" applyAlignment="1">
      <alignment horizontal="center"/>
    </xf>
    <xf numFmtId="0" fontId="9" fillId="12" borderId="0" xfId="0" applyFont="1" applyFill="1"/>
    <xf numFmtId="0" fontId="16" fillId="12" borderId="0" xfId="0" applyFont="1" applyFill="1"/>
    <xf numFmtId="0" fontId="3" fillId="13" borderId="0" xfId="0" applyFont="1" applyFill="1"/>
    <xf numFmtId="0" fontId="3" fillId="14" borderId="1" xfId="0" applyFont="1" applyFill="1" applyBorder="1" applyAlignment="1">
      <alignment horizontal="right"/>
    </xf>
    <xf numFmtId="0" fontId="7" fillId="7" borderId="0" xfId="0" applyFont="1" applyFill="1"/>
    <xf numFmtId="0" fontId="0" fillId="7" borderId="0" xfId="0" applyFill="1"/>
    <xf numFmtId="0" fontId="1" fillId="15" borderId="0" xfId="0" applyFont="1" applyFill="1" applyAlignment="1">
      <alignment horizontal="center"/>
    </xf>
    <xf numFmtId="0" fontId="14" fillId="16" borderId="0" xfId="0" applyFont="1" applyFill="1"/>
    <xf numFmtId="0" fontId="14" fillId="16" borderId="0" xfId="0" applyFont="1" applyFill="1" applyAlignment="1">
      <alignment horizontal="center"/>
    </xf>
    <xf numFmtId="0" fontId="1" fillId="17" borderId="0" xfId="0" applyFont="1" applyFill="1" applyAlignment="1">
      <alignment horizontal="center"/>
    </xf>
    <xf numFmtId="0" fontId="9" fillId="18" borderId="0" xfId="0" applyFont="1" applyFill="1"/>
    <xf numFmtId="0" fontId="7" fillId="18" borderId="0" xfId="0" applyFont="1" applyFill="1"/>
    <xf numFmtId="0" fontId="9" fillId="18" borderId="0" xfId="0" applyFont="1" applyFill="1" applyAlignment="1">
      <alignment horizontal="center"/>
    </xf>
    <xf numFmtId="0" fontId="1" fillId="19" borderId="0" xfId="0" applyFont="1" applyFill="1" applyAlignment="1">
      <alignment horizontal="center"/>
    </xf>
    <xf numFmtId="0" fontId="14" fillId="20" borderId="0" xfId="0" applyFont="1" applyFill="1" applyAlignment="1">
      <alignment vertical="center"/>
    </xf>
    <xf numFmtId="0" fontId="14" fillId="20" borderId="0" xfId="0" applyFont="1" applyFill="1" applyAlignment="1">
      <alignment vertical="center" wrapText="1"/>
    </xf>
    <xf numFmtId="0" fontId="14" fillId="20" borderId="0" xfId="0" applyFont="1" applyFill="1"/>
    <xf numFmtId="0" fontId="14" fillId="20" borderId="0" xfId="0" applyFont="1" applyFill="1" applyAlignment="1">
      <alignment horizontal="center" vertical="center"/>
    </xf>
    <xf numFmtId="0" fontId="9" fillId="21" borderId="0" xfId="0" applyFont="1" applyFill="1"/>
    <xf numFmtId="0" fontId="7" fillId="21" borderId="0" xfId="0" applyFont="1" applyFill="1"/>
    <xf numFmtId="0" fontId="9" fillId="21" borderId="0" xfId="0" applyFont="1" applyFill="1" applyAlignment="1">
      <alignment horizontal="center"/>
    </xf>
    <xf numFmtId="0" fontId="14" fillId="11" borderId="0" xfId="0" applyFont="1" applyFill="1"/>
    <xf numFmtId="0" fontId="15" fillId="11" borderId="0" xfId="0" applyFont="1" applyFill="1"/>
    <xf numFmtId="0" fontId="9" fillId="22" borderId="0" xfId="0" applyFont="1" applyFill="1"/>
    <xf numFmtId="0" fontId="7" fillId="22" borderId="0" xfId="0" applyFont="1" applyFill="1"/>
    <xf numFmtId="0" fontId="14" fillId="6" borderId="0" xfId="0" applyFont="1" applyFill="1" applyAlignment="1">
      <alignment wrapText="1"/>
    </xf>
    <xf numFmtId="0" fontId="17" fillId="0" borderId="0" xfId="0" applyFont="1"/>
    <xf numFmtId="0" fontId="18" fillId="0" borderId="0" xfId="0" applyFont="1"/>
    <xf numFmtId="0" fontId="19" fillId="0" borderId="0" xfId="0" applyFont="1"/>
    <xf numFmtId="0" fontId="17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8" fillId="0" borderId="0" xfId="0" applyFont="1" applyAlignment="1">
      <alignment horizontal="left" vertical="center" wrapText="1" indent="1"/>
    </xf>
    <xf numFmtId="0" fontId="18" fillId="0" borderId="0" xfId="0" applyFont="1" applyAlignment="1">
      <alignment horizontal="center"/>
    </xf>
    <xf numFmtId="0" fontId="1" fillId="23" borderId="0" xfId="0" applyFont="1" applyFill="1" applyAlignment="1">
      <alignment horizontal="center"/>
    </xf>
    <xf numFmtId="0" fontId="21" fillId="24" borderId="0" xfId="0" applyFont="1" applyFill="1" applyAlignment="1">
      <alignment horizontal="left" vertical="center" wrapText="1" indent="1"/>
    </xf>
    <xf numFmtId="0" fontId="9" fillId="25" borderId="0" xfId="0" applyFont="1" applyFill="1"/>
    <xf numFmtId="0" fontId="7" fillId="25" borderId="0" xfId="0" applyFont="1" applyFill="1"/>
    <xf numFmtId="0" fontId="9" fillId="25" borderId="0" xfId="0" applyFont="1" applyFill="1" applyAlignment="1">
      <alignment horizontal="center"/>
    </xf>
    <xf numFmtId="0" fontId="21" fillId="7" borderId="2" xfId="0" applyFont="1" applyFill="1" applyBorder="1" applyAlignment="1">
      <alignment horizontal="left" vertical="center" wrapText="1" indent="1"/>
    </xf>
    <xf numFmtId="0" fontId="5" fillId="5" borderId="2" xfId="0" applyFont="1" applyFill="1" applyBorder="1" applyAlignment="1">
      <alignment horizontal="center"/>
    </xf>
    <xf numFmtId="0" fontId="14" fillId="0" borderId="2" xfId="0" applyFont="1" applyBorder="1"/>
    <xf numFmtId="0" fontId="15" fillId="0" borderId="2" xfId="0" applyFont="1" applyBorder="1"/>
    <xf numFmtId="0" fontId="14" fillId="0" borderId="2" xfId="0" applyFont="1" applyBorder="1" applyAlignment="1">
      <alignment vertical="center"/>
    </xf>
    <xf numFmtId="0" fontId="14" fillId="0" borderId="2" xfId="0" applyFont="1" applyBorder="1" applyAlignment="1">
      <alignment vertical="center" wrapText="1"/>
    </xf>
    <xf numFmtId="0" fontId="21" fillId="7" borderId="2" xfId="0" applyFont="1" applyFill="1" applyBorder="1" applyAlignment="1">
      <alignment vertical="center" wrapText="1"/>
    </xf>
    <xf numFmtId="0" fontId="23" fillId="0" borderId="0" xfId="0" applyFont="1"/>
    <xf numFmtId="0" fontId="24" fillId="0" borderId="0" xfId="0" applyFont="1"/>
    <xf numFmtId="0" fontId="24" fillId="0" borderId="1" xfId="0" applyFont="1" applyBorder="1"/>
    <xf numFmtId="0" fontId="18" fillId="7" borderId="6" xfId="0" applyFont="1" applyFill="1" applyBorder="1" applyAlignment="1">
      <alignment horizontal="left" vertical="center" wrapText="1" inden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6" xfId="0" applyBorder="1"/>
    <xf numFmtId="0" fontId="19" fillId="0" borderId="15" xfId="0" applyFont="1" applyBorder="1" applyAlignment="1">
      <alignment horizontal="center"/>
    </xf>
    <xf numFmtId="0" fontId="0" fillId="0" borderId="14" xfId="0" applyBorder="1"/>
    <xf numFmtId="0" fontId="0" fillId="0" borderId="1" xfId="0" applyBorder="1"/>
    <xf numFmtId="0" fontId="22" fillId="7" borderId="11" xfId="0" applyFont="1" applyFill="1" applyBorder="1" applyAlignment="1">
      <alignment horizontal="left" vertical="center" wrapText="1" indent="1"/>
    </xf>
    <xf numFmtId="0" fontId="22" fillId="7" borderId="14" xfId="0" applyFont="1" applyFill="1" applyBorder="1" applyAlignment="1">
      <alignment horizontal="left" vertical="center" wrapText="1" indent="1"/>
    </xf>
    <xf numFmtId="0" fontId="22" fillId="7" borderId="13" xfId="0" applyFont="1" applyFill="1" applyBorder="1" applyAlignment="1">
      <alignment horizontal="left" vertical="center" wrapText="1" indent="1"/>
    </xf>
    <xf numFmtId="0" fontId="1" fillId="26" borderId="0" xfId="0" applyFont="1" applyFill="1" applyAlignment="1">
      <alignment horizontal="center"/>
    </xf>
    <xf numFmtId="0" fontId="9" fillId="27" borderId="0" xfId="0" applyFont="1" applyFill="1"/>
    <xf numFmtId="0" fontId="7" fillId="27" borderId="0" xfId="0" applyFont="1" applyFill="1"/>
    <xf numFmtId="0" fontId="9" fillId="27" borderId="0" xfId="0" applyFont="1" applyFill="1" applyAlignment="1">
      <alignment horizontal="center"/>
    </xf>
    <xf numFmtId="0" fontId="21" fillId="7" borderId="17" xfId="0" applyFont="1" applyFill="1" applyBorder="1" applyAlignment="1">
      <alignment horizontal="left" vertical="center" wrapText="1" indent="1"/>
    </xf>
    <xf numFmtId="0" fontId="1" fillId="4" borderId="0" xfId="0" applyFont="1" applyFill="1" applyAlignment="1">
      <alignment horizontal="center"/>
    </xf>
    <xf numFmtId="0" fontId="9" fillId="28" borderId="0" xfId="0" applyFont="1" applyFill="1"/>
    <xf numFmtId="0" fontId="7" fillId="28" borderId="0" xfId="0" applyFont="1" applyFill="1"/>
    <xf numFmtId="0" fontId="9" fillId="28" borderId="0" xfId="0" applyFont="1" applyFill="1" applyAlignment="1">
      <alignment horizontal="center"/>
    </xf>
    <xf numFmtId="0" fontId="21" fillId="28" borderId="1" xfId="0" applyFont="1" applyFill="1" applyBorder="1" applyAlignment="1">
      <alignment horizontal="left" vertical="center" wrapText="1" indent="1"/>
    </xf>
    <xf numFmtId="0" fontId="21" fillId="27" borderId="1" xfId="0" applyFont="1" applyFill="1" applyBorder="1" applyAlignment="1">
      <alignment horizontal="left" vertical="center" wrapText="1" indent="1"/>
    </xf>
    <xf numFmtId="0" fontId="13" fillId="6" borderId="3" xfId="0" applyFont="1" applyFill="1" applyBorder="1" applyAlignment="1">
      <alignment horizontal="center"/>
    </xf>
    <xf numFmtId="0" fontId="13" fillId="6" borderId="4" xfId="0" applyFont="1" applyFill="1" applyBorder="1" applyAlignment="1">
      <alignment horizontal="center"/>
    </xf>
    <xf numFmtId="0" fontId="13" fillId="6" borderId="5" xfId="0" applyFont="1" applyFill="1" applyBorder="1" applyAlignment="1">
      <alignment horizontal="center"/>
    </xf>
    <xf numFmtId="0" fontId="13" fillId="6" borderId="2" xfId="0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0" fontId="17" fillId="0" borderId="0" xfId="0" applyFont="1"/>
    <xf numFmtId="0" fontId="18" fillId="0" borderId="0" xfId="0" applyFont="1" applyAlignment="1">
      <alignment horizontal="left" vertical="center" wrapText="1" indent="1"/>
    </xf>
    <xf numFmtId="0" fontId="17" fillId="0" borderId="15" xfId="0" applyFont="1" applyBorder="1" applyAlignment="1">
      <alignment horizontal="center" vertical="center"/>
    </xf>
    <xf numFmtId="0" fontId="17" fillId="0" borderId="15" xfId="0" applyFont="1" applyBorder="1" applyAlignment="1">
      <alignment horizontal="center" vertical="center"/>
    </xf>
    <xf numFmtId="0" fontId="18" fillId="7" borderId="10" xfId="0" applyFont="1" applyFill="1" applyBorder="1" applyAlignment="1">
      <alignment horizontal="left" vertical="center" wrapText="1" indent="1"/>
    </xf>
    <xf numFmtId="0" fontId="18" fillId="7" borderId="8" xfId="0" applyFont="1" applyFill="1" applyBorder="1" applyAlignment="1">
      <alignment horizontal="left" vertical="center" wrapText="1" indent="1"/>
    </xf>
    <xf numFmtId="0" fontId="18" fillId="7" borderId="12" xfId="0" applyFont="1" applyFill="1" applyBorder="1" applyAlignment="1">
      <alignment horizontal="left" vertical="center" wrapText="1" indent="1"/>
    </xf>
    <xf numFmtId="0" fontId="18" fillId="7" borderId="10" xfId="0" applyFont="1" applyFill="1" applyBorder="1" applyAlignment="1">
      <alignment horizontal="left" vertical="center" wrapText="1" indent="1"/>
    </xf>
    <xf numFmtId="0" fontId="18" fillId="7" borderId="8" xfId="0" applyFont="1" applyFill="1" applyBorder="1" applyAlignment="1">
      <alignment horizontal="left" vertical="center" wrapText="1" indent="1"/>
    </xf>
    <xf numFmtId="0" fontId="18" fillId="7" borderId="12" xfId="0" applyFont="1" applyFill="1" applyBorder="1" applyAlignment="1">
      <alignment horizontal="left" vertical="center" wrapText="1" indent="1"/>
    </xf>
    <xf numFmtId="0" fontId="18" fillId="0" borderId="18" xfId="0" applyFont="1" applyBorder="1" applyAlignment="1">
      <alignment horizontal="left" vertical="center" wrapText="1" indent="1"/>
    </xf>
    <xf numFmtId="0" fontId="13" fillId="6" borderId="19" xfId="0" applyFont="1" applyFill="1" applyBorder="1" applyAlignment="1">
      <alignment horizontal="center"/>
    </xf>
    <xf numFmtId="0" fontId="13" fillId="6" borderId="20" xfId="0" applyFont="1" applyFill="1" applyBorder="1" applyAlignment="1">
      <alignment horizontal="center"/>
    </xf>
    <xf numFmtId="0" fontId="13" fillId="6" borderId="21" xfId="0" applyFont="1" applyFill="1" applyBorder="1" applyAlignment="1">
      <alignment horizontal="center"/>
    </xf>
    <xf numFmtId="0" fontId="13" fillId="6" borderId="22" xfId="0" applyFont="1" applyFill="1" applyBorder="1" applyAlignment="1">
      <alignment horizontal="center"/>
    </xf>
    <xf numFmtId="0" fontId="13" fillId="6" borderId="1" xfId="0" applyFont="1" applyFill="1" applyBorder="1" applyAlignment="1">
      <alignment horizontal="center"/>
    </xf>
    <xf numFmtId="0" fontId="13" fillId="6" borderId="23" xfId="0" applyFont="1" applyFill="1" applyBorder="1" applyAlignment="1">
      <alignment horizontal="center"/>
    </xf>
    <xf numFmtId="0" fontId="18" fillId="29" borderId="6" xfId="0" applyFont="1" applyFill="1" applyBorder="1" applyAlignment="1">
      <alignment horizontal="left" vertical="center" wrapText="1" indent="1"/>
    </xf>
    <xf numFmtId="0" fontId="18" fillId="29" borderId="6" xfId="0" applyFont="1" applyFill="1" applyBorder="1" applyAlignment="1">
      <alignment horizontal="left" vertical="center" wrapText="1" indent="1"/>
    </xf>
    <xf numFmtId="0" fontId="24" fillId="0" borderId="0" xfId="0" applyFont="1" applyAlignment="1">
      <alignment horizontal="center" vertical="center"/>
    </xf>
    <xf numFmtId="0" fontId="1" fillId="30" borderId="0" xfId="0" applyFont="1" applyFill="1" applyAlignment="1">
      <alignment horizontal="center"/>
    </xf>
    <xf numFmtId="0" fontId="21" fillId="31" borderId="0" xfId="0" applyFont="1" applyFill="1" applyAlignment="1">
      <alignment horizontal="left" vertical="center" wrapText="1" indent="1"/>
    </xf>
    <xf numFmtId="0" fontId="9" fillId="32" borderId="0" xfId="0" applyFont="1" applyFill="1"/>
    <xf numFmtId="0" fontId="7" fillId="32" borderId="0" xfId="0" applyFont="1" applyFill="1"/>
    <xf numFmtId="0" fontId="9" fillId="32" borderId="0" xfId="0" applyFont="1" applyFill="1" applyAlignment="1">
      <alignment horizontal="center"/>
    </xf>
    <xf numFmtId="0" fontId="13" fillId="6" borderId="25" xfId="0" applyFont="1" applyFill="1" applyBorder="1" applyAlignment="1">
      <alignment horizontal="center"/>
    </xf>
    <xf numFmtId="0" fontId="13" fillId="6" borderId="24" xfId="0" applyFont="1" applyFill="1" applyBorder="1" applyAlignment="1">
      <alignment horizontal="center"/>
    </xf>
    <xf numFmtId="0" fontId="0" fillId="0" borderId="26" xfId="0" applyBorder="1"/>
    <xf numFmtId="0" fontId="21" fillId="7" borderId="17" xfId="0" applyFont="1" applyFill="1" applyBorder="1" applyAlignment="1">
      <alignment vertical="center" wrapText="1"/>
    </xf>
    <xf numFmtId="0" fontId="21" fillId="7" borderId="17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00000000-0005-0000-0000-000001000000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4"/>
      <tableStyleElement type="firstRowStripe" dxfId="3"/>
      <tableStyleElement type="secondRowStripe" dxfId="2"/>
    </tableStyle>
  </tableStyles>
  <colors>
    <mruColors>
      <color rgb="FF66FFFF"/>
      <color rgb="FF00FFFF"/>
      <color rgb="FF33CCCC"/>
      <color rgb="FFFFFFCC"/>
      <color rgb="FFFFFF66"/>
      <color rgb="FFFFFF00"/>
      <color rgb="FFCCCCFF"/>
      <color rgb="FF0000CC"/>
      <color rgb="FFFF99FF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REQUERIMIENTOS</a:t>
            </a:r>
          </a:p>
        </c:rich>
      </c:tx>
      <c:layout>
        <c:manualLayout>
          <c:xMode val="edge"/>
          <c:yMode val="edge"/>
          <c:x val="0.7622919097729608"/>
          <c:y val="4.22084064997147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>
        <c:manualLayout>
          <c:layoutTarget val="inner"/>
          <c:xMode val="edge"/>
          <c:yMode val="edge"/>
          <c:x val="6.4040506982751072E-2"/>
          <c:y val="0.10597636451781475"/>
          <c:w val="0.93191790278551634"/>
          <c:h val="0.7618268406058164"/>
        </c:manualLayout>
      </c:layout>
      <c:lineChart>
        <c:grouping val="standard"/>
        <c:varyColors val="0"/>
        <c:ser>
          <c:idx val="0"/>
          <c:order val="0"/>
          <c:tx>
            <c:strRef>
              <c:f>BURDONCHART!$B$27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BURDONCHART!$C$27:$AG$27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3C-406F-9815-2B3C88F5CEB6}"/>
            </c:ext>
          </c:extLst>
        </c:ser>
        <c:ser>
          <c:idx val="1"/>
          <c:order val="1"/>
          <c:tx>
            <c:strRef>
              <c:f>BURDONCHART!$B$28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BURDONCHART!$C$28:$AG$28</c:f>
              <c:numCache>
                <c:formatCode>0.0</c:formatCode>
                <c:ptCount val="31"/>
                <c:pt idx="0" formatCode="General">
                  <c:v>5</c:v>
                </c:pt>
                <c:pt idx="1">
                  <c:v>4.833333333333333</c:v>
                </c:pt>
                <c:pt idx="2">
                  <c:v>4.6666666666666661</c:v>
                </c:pt>
                <c:pt idx="3">
                  <c:v>4.4999999999999991</c:v>
                </c:pt>
                <c:pt idx="4">
                  <c:v>4.3333333333333321</c:v>
                </c:pt>
                <c:pt idx="5">
                  <c:v>4.1666666666666652</c:v>
                </c:pt>
                <c:pt idx="6">
                  <c:v>3.9999999999999987</c:v>
                </c:pt>
                <c:pt idx="7">
                  <c:v>3.8333333333333321</c:v>
                </c:pt>
                <c:pt idx="8">
                  <c:v>3.6666666666666656</c:v>
                </c:pt>
                <c:pt idx="9">
                  <c:v>3.4999999999999991</c:v>
                </c:pt>
                <c:pt idx="10">
                  <c:v>3.3333333333333326</c:v>
                </c:pt>
                <c:pt idx="11">
                  <c:v>3.1666666666666661</c:v>
                </c:pt>
                <c:pt idx="12">
                  <c:v>2.9999999999999996</c:v>
                </c:pt>
                <c:pt idx="13">
                  <c:v>2.833333333333333</c:v>
                </c:pt>
                <c:pt idx="14">
                  <c:v>2.6666666666666665</c:v>
                </c:pt>
                <c:pt idx="15">
                  <c:v>2.5</c:v>
                </c:pt>
                <c:pt idx="16">
                  <c:v>2.3333333333333335</c:v>
                </c:pt>
                <c:pt idx="17">
                  <c:v>2.166666666666667</c:v>
                </c:pt>
                <c:pt idx="18">
                  <c:v>2.0000000000000004</c:v>
                </c:pt>
                <c:pt idx="19">
                  <c:v>1.8333333333333337</c:v>
                </c:pt>
                <c:pt idx="20">
                  <c:v>1.666666666666667</c:v>
                </c:pt>
                <c:pt idx="21">
                  <c:v>1.5000000000000002</c:v>
                </c:pt>
                <c:pt idx="22">
                  <c:v>1.3333333333333335</c:v>
                </c:pt>
                <c:pt idx="23">
                  <c:v>1.1666666666666667</c:v>
                </c:pt>
                <c:pt idx="24">
                  <c:v>1</c:v>
                </c:pt>
                <c:pt idx="25">
                  <c:v>0.83333333333333337</c:v>
                </c:pt>
                <c:pt idx="26">
                  <c:v>0.66666666666666674</c:v>
                </c:pt>
                <c:pt idx="27">
                  <c:v>0.50000000000000011</c:v>
                </c:pt>
                <c:pt idx="28">
                  <c:v>0.33333333333333348</c:v>
                </c:pt>
                <c:pt idx="29">
                  <c:v>0.16666666666666682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3C-406F-9815-2B3C88F5C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0537856"/>
        <c:axId val="630532032"/>
      </c:lineChart>
      <c:catAx>
        <c:axId val="63053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630532032"/>
        <c:crosses val="autoZero"/>
        <c:auto val="1"/>
        <c:lblAlgn val="ctr"/>
        <c:lblOffset val="100"/>
        <c:noMultiLvlLbl val="0"/>
      </c:catAx>
      <c:valAx>
        <c:axId val="63053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63053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246557</xdr:colOff>
      <xdr:row>30</xdr:row>
      <xdr:rowOff>26444</xdr:rowOff>
    </xdr:from>
    <xdr:to>
      <xdr:col>16</xdr:col>
      <xdr:colOff>732081</xdr:colOff>
      <xdr:row>50</xdr:row>
      <xdr:rowOff>187169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D21E846-E4C5-47A2-9619-8767DF0BF5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H4:AH6" headerRowCount="0" totalsRowShown="0">
  <tableColumns count="1">
    <tableColumn id="1" xr3:uid="{00000000-0010-0000-0000-000001000000}" name="Column1" totalsRowDxfId="1">
      <calculatedColumnFormula>SUM(D4:AG4)</calculatedColumnFormula>
    </tableColumn>
  </tableColumns>
  <tableStyleInfo name="burdonchar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3" displayName="Table_13" ref="AH8:AH10" headerRowCount="0" totalsRowShown="0">
  <tableColumns count="1">
    <tableColumn id="1" xr3:uid="{00000000-0010-0000-0100-000001000000}" name="Column1" totalsRowDxfId="0">
      <calculatedColumnFormula>SUM(D8:AG8)</calculatedColumnFormula>
    </tableColumn>
  </tableColumns>
  <tableStyleInfo name="burdonchar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zoomScale="71" zoomScaleNormal="85" workbookViewId="0">
      <selection activeCell="I22" sqref="I22"/>
    </sheetView>
  </sheetViews>
  <sheetFormatPr baseColWidth="10" defaultColWidth="12.5546875" defaultRowHeight="15" customHeight="1" x14ac:dyDescent="0.25"/>
  <cols>
    <col min="1" max="1" width="12.44140625" customWidth="1"/>
    <col min="2" max="2" width="39.6640625" bestFit="1" customWidth="1"/>
    <col min="3" max="3" width="36" customWidth="1"/>
    <col min="4" max="4" width="57.109375" customWidth="1"/>
    <col min="5" max="5" width="84" customWidth="1"/>
    <col min="6" max="6" width="14.44140625" customWidth="1"/>
    <col min="7" max="26" width="12.44140625" customWidth="1"/>
  </cols>
  <sheetData>
    <row r="1" spans="1:8" s="6" customFormat="1" ht="15.75" customHeight="1" x14ac:dyDescent="0.3">
      <c r="A1" s="67" t="s">
        <v>0</v>
      </c>
      <c r="B1" s="67" t="s">
        <v>1</v>
      </c>
      <c r="C1" s="67" t="s">
        <v>2</v>
      </c>
      <c r="D1" s="67" t="s">
        <v>3</v>
      </c>
      <c r="E1" s="67" t="s">
        <v>4</v>
      </c>
      <c r="F1" s="67" t="s">
        <v>5</v>
      </c>
      <c r="G1" s="67" t="s">
        <v>6</v>
      </c>
      <c r="H1" s="67" t="s">
        <v>7</v>
      </c>
    </row>
    <row r="2" spans="1:8" s="8" customFormat="1" ht="15.75" customHeight="1" x14ac:dyDescent="0.25">
      <c r="A2" s="103" t="s">
        <v>21</v>
      </c>
      <c r="B2" s="103"/>
      <c r="C2" s="103"/>
      <c r="D2" s="103"/>
      <c r="E2" s="103"/>
      <c r="F2" s="103"/>
      <c r="G2" s="103"/>
      <c r="H2" s="103"/>
    </row>
    <row r="3" spans="1:8" ht="15.75" customHeight="1" x14ac:dyDescent="0.25">
      <c r="A3" s="68" t="s">
        <v>50</v>
      </c>
      <c r="B3" s="68" t="s">
        <v>101</v>
      </c>
      <c r="C3" s="68" t="s">
        <v>20</v>
      </c>
      <c r="D3" s="68" t="s">
        <v>51</v>
      </c>
      <c r="E3" s="68" t="s">
        <v>52</v>
      </c>
      <c r="F3" s="69"/>
      <c r="G3" s="68" t="s">
        <v>8</v>
      </c>
      <c r="H3" s="68" t="s">
        <v>41</v>
      </c>
    </row>
    <row r="4" spans="1:8" ht="15.75" customHeight="1" x14ac:dyDescent="0.25">
      <c r="A4" s="103" t="s">
        <v>53</v>
      </c>
      <c r="B4" s="103"/>
      <c r="C4" s="103"/>
      <c r="D4" s="103"/>
      <c r="E4" s="103"/>
      <c r="F4" s="103"/>
      <c r="G4" s="103"/>
      <c r="H4" s="103"/>
    </row>
    <row r="5" spans="1:8" ht="15.75" customHeight="1" x14ac:dyDescent="0.25">
      <c r="A5" s="68" t="s">
        <v>54</v>
      </c>
      <c r="B5" s="68" t="s">
        <v>55</v>
      </c>
      <c r="C5" s="68" t="s">
        <v>20</v>
      </c>
      <c r="D5" s="68" t="s">
        <v>56</v>
      </c>
      <c r="E5" s="68" t="s">
        <v>57</v>
      </c>
      <c r="F5" s="68"/>
      <c r="G5" s="68" t="s">
        <v>8</v>
      </c>
      <c r="H5" s="68" t="s">
        <v>41</v>
      </c>
    </row>
    <row r="6" spans="1:8" s="10" customFormat="1" ht="13.95" customHeight="1" x14ac:dyDescent="0.25">
      <c r="A6" s="103" t="s">
        <v>58</v>
      </c>
      <c r="B6" s="103"/>
      <c r="C6" s="103"/>
      <c r="D6" s="103"/>
      <c r="E6" s="103"/>
      <c r="F6" s="103"/>
      <c r="G6" s="103"/>
      <c r="H6" s="103"/>
    </row>
    <row r="7" spans="1:8" ht="15.75" customHeight="1" x14ac:dyDescent="0.25">
      <c r="A7" s="68" t="s">
        <v>59</v>
      </c>
      <c r="B7" s="68" t="s">
        <v>102</v>
      </c>
      <c r="C7" s="68" t="s">
        <v>20</v>
      </c>
      <c r="D7" s="68" t="s">
        <v>60</v>
      </c>
      <c r="E7" s="68" t="s">
        <v>100</v>
      </c>
      <c r="F7" s="68"/>
      <c r="G7" s="68" t="s">
        <v>8</v>
      </c>
      <c r="H7" s="68" t="s">
        <v>41</v>
      </c>
    </row>
    <row r="8" spans="1:8" ht="13.2" x14ac:dyDescent="0.25">
      <c r="A8" s="130" t="s">
        <v>61</v>
      </c>
      <c r="B8" s="130"/>
      <c r="C8" s="130"/>
      <c r="D8" s="130"/>
      <c r="E8" s="130"/>
      <c r="F8" s="130"/>
      <c r="G8" s="130"/>
      <c r="H8" s="130"/>
    </row>
    <row r="9" spans="1:8" ht="35.4" customHeight="1" x14ac:dyDescent="0.25">
      <c r="A9" s="133" t="s">
        <v>62</v>
      </c>
      <c r="B9" s="133" t="s">
        <v>176</v>
      </c>
      <c r="C9" s="134" t="s">
        <v>20</v>
      </c>
      <c r="D9" s="133" t="s">
        <v>177</v>
      </c>
      <c r="E9" s="133" t="s">
        <v>178</v>
      </c>
      <c r="F9" s="133"/>
      <c r="G9" s="133" t="s">
        <v>126</v>
      </c>
      <c r="H9" s="70" t="s">
        <v>41</v>
      </c>
    </row>
    <row r="10" spans="1:8" ht="15.75" customHeight="1" x14ac:dyDescent="0.25">
      <c r="A10" s="131" t="s">
        <v>165</v>
      </c>
      <c r="B10" s="131"/>
      <c r="C10" s="131"/>
      <c r="D10" s="131"/>
      <c r="E10" s="131"/>
      <c r="F10" s="131"/>
      <c r="G10" s="131"/>
      <c r="H10" s="131"/>
    </row>
    <row r="11" spans="1:8" ht="33" customHeight="1" x14ac:dyDescent="0.25">
      <c r="A11" s="72" t="s">
        <v>122</v>
      </c>
      <c r="B11" s="72" t="s">
        <v>123</v>
      </c>
      <c r="C11" s="72" t="s">
        <v>20</v>
      </c>
      <c r="D11" s="72" t="s">
        <v>140</v>
      </c>
      <c r="E11" s="72" t="s">
        <v>141</v>
      </c>
      <c r="F11" s="66"/>
      <c r="G11" s="72" t="s">
        <v>126</v>
      </c>
      <c r="H11" s="70" t="s">
        <v>41</v>
      </c>
    </row>
    <row r="12" spans="1:8" ht="15.6" customHeight="1" x14ac:dyDescent="0.25">
      <c r="A12" s="116" t="s">
        <v>139</v>
      </c>
      <c r="B12" s="117"/>
      <c r="C12" s="117"/>
      <c r="D12" s="117"/>
      <c r="E12" s="117"/>
      <c r="F12" s="117"/>
      <c r="G12" s="117"/>
      <c r="H12" s="118"/>
    </row>
    <row r="13" spans="1:8" ht="33.6" customHeight="1" x14ac:dyDescent="0.25">
      <c r="A13" s="70" t="s">
        <v>62</v>
      </c>
      <c r="B13" s="70" t="s">
        <v>63</v>
      </c>
      <c r="C13" s="70" t="s">
        <v>20</v>
      </c>
      <c r="D13" s="71" t="s">
        <v>64</v>
      </c>
      <c r="E13" s="71" t="s">
        <v>65</v>
      </c>
      <c r="F13" s="68"/>
      <c r="G13" s="70" t="s">
        <v>8</v>
      </c>
      <c r="H13" s="70" t="s">
        <v>41</v>
      </c>
    </row>
    <row r="14" spans="1:8" ht="15.6" customHeight="1" x14ac:dyDescent="0.25">
      <c r="A14" s="100" t="s">
        <v>164</v>
      </c>
      <c r="B14" s="101"/>
      <c r="C14" s="101"/>
      <c r="D14" s="101"/>
      <c r="E14" s="101"/>
      <c r="F14" s="101"/>
      <c r="G14" s="101"/>
      <c r="H14" s="102"/>
    </row>
    <row r="15" spans="1:8" ht="24" customHeight="1" x14ac:dyDescent="0.25">
      <c r="A15" s="93" t="s">
        <v>142</v>
      </c>
      <c r="B15" s="93" t="s">
        <v>143</v>
      </c>
      <c r="C15" s="134" t="s">
        <v>20</v>
      </c>
      <c r="D15" s="93" t="s">
        <v>166</v>
      </c>
      <c r="E15" s="93" t="s">
        <v>167</v>
      </c>
      <c r="F15" s="93"/>
      <c r="G15" s="93" t="s">
        <v>126</v>
      </c>
      <c r="H15" s="70" t="s">
        <v>41</v>
      </c>
    </row>
    <row r="16" spans="1:8" ht="15.6" customHeight="1" x14ac:dyDescent="0.25">
      <c r="A16" s="119" t="s">
        <v>170</v>
      </c>
      <c r="B16" s="120"/>
      <c r="C16" s="120"/>
      <c r="D16" s="120"/>
      <c r="E16" s="120"/>
      <c r="F16" s="120"/>
      <c r="G16" s="120"/>
      <c r="H16" s="121"/>
    </row>
    <row r="17" spans="1:8" ht="28.2" customHeight="1" x14ac:dyDescent="0.25">
      <c r="A17" s="93" t="s">
        <v>154</v>
      </c>
      <c r="B17" s="93" t="s">
        <v>155</v>
      </c>
      <c r="C17" s="133" t="s">
        <v>20</v>
      </c>
      <c r="D17" s="93" t="s">
        <v>168</v>
      </c>
      <c r="E17" s="93" t="s">
        <v>169</v>
      </c>
      <c r="F17" s="93"/>
      <c r="G17" s="93" t="s">
        <v>8</v>
      </c>
      <c r="H17" s="70" t="s">
        <v>41</v>
      </c>
    </row>
    <row r="18" spans="1:8" ht="15.6" customHeight="1" x14ac:dyDescent="0.25"/>
    <row r="19" spans="1:8" ht="15.75" customHeight="1" x14ac:dyDescent="0.25">
      <c r="C19" s="132"/>
    </row>
    <row r="20" spans="1:8" ht="15.75" customHeight="1" x14ac:dyDescent="0.25"/>
    <row r="21" spans="1:8" ht="15.75" customHeight="1" x14ac:dyDescent="0.25"/>
    <row r="22" spans="1:8" ht="15.75" customHeight="1" x14ac:dyDescent="0.25"/>
    <row r="23" spans="1:8" ht="15.75" customHeight="1" x14ac:dyDescent="0.25"/>
    <row r="24" spans="1:8" ht="15.75" customHeight="1" x14ac:dyDescent="0.25"/>
    <row r="25" spans="1:8" ht="15.75" customHeight="1" x14ac:dyDescent="0.25"/>
    <row r="26" spans="1:8" ht="15.75" customHeight="1" x14ac:dyDescent="0.25"/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8">
    <mergeCell ref="A16:H16"/>
    <mergeCell ref="A12:H12"/>
    <mergeCell ref="A14:H14"/>
    <mergeCell ref="A2:H2"/>
    <mergeCell ref="A4:H4"/>
    <mergeCell ref="A6:H6"/>
    <mergeCell ref="A10:H10"/>
    <mergeCell ref="A8:H8"/>
  </mergeCells>
  <phoneticPr fontId="10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937"/>
  <sheetViews>
    <sheetView tabSelected="1" topLeftCell="A15" zoomScale="49" zoomScaleNormal="73" workbookViewId="0">
      <selection activeCell="J37" sqref="J37"/>
    </sheetView>
  </sheetViews>
  <sheetFormatPr baseColWidth="10" defaultColWidth="12.5546875" defaultRowHeight="15" customHeight="1" x14ac:dyDescent="0.25"/>
  <cols>
    <col min="1" max="1" width="12.44140625" customWidth="1"/>
    <col min="2" max="2" width="10.5546875" customWidth="1"/>
    <col min="3" max="3" width="31.33203125" customWidth="1"/>
    <col min="4" max="4" width="18.6640625" customWidth="1"/>
    <col min="5" max="5" width="57.33203125" customWidth="1"/>
    <col min="6" max="6" width="56.33203125" customWidth="1"/>
    <col min="7" max="7" width="13.6640625" customWidth="1"/>
    <col min="8" max="26" width="12.44140625" customWidth="1"/>
  </cols>
  <sheetData>
    <row r="1" spans="2:9" ht="15.75" customHeight="1" x14ac:dyDescent="0.25"/>
    <row r="2" spans="2:9" ht="15.75" customHeight="1" x14ac:dyDescent="0.25">
      <c r="B2" s="17" t="s">
        <v>9</v>
      </c>
      <c r="C2" s="17" t="s">
        <v>1</v>
      </c>
      <c r="D2" s="17" t="s">
        <v>2</v>
      </c>
      <c r="E2" s="17" t="s">
        <v>10</v>
      </c>
      <c r="F2" s="17" t="s">
        <v>11</v>
      </c>
      <c r="G2" s="17" t="s">
        <v>5</v>
      </c>
      <c r="H2" s="17" t="s">
        <v>12</v>
      </c>
      <c r="I2" s="17" t="s">
        <v>13</v>
      </c>
    </row>
    <row r="3" spans="2:9" s="8" customFormat="1" ht="15.75" customHeight="1" x14ac:dyDescent="0.25">
      <c r="B3" s="49" t="s">
        <v>50</v>
      </c>
      <c r="C3" s="49" t="s">
        <v>101</v>
      </c>
      <c r="D3" s="49" t="s">
        <v>20</v>
      </c>
      <c r="E3" s="49" t="s">
        <v>51</v>
      </c>
      <c r="F3" s="49" t="s">
        <v>52</v>
      </c>
      <c r="G3" s="50"/>
      <c r="H3" s="49" t="s">
        <v>8</v>
      </c>
      <c r="I3" s="49" t="s">
        <v>41</v>
      </c>
    </row>
    <row r="4" spans="2:9" s="8" customFormat="1" ht="15.75" customHeight="1" x14ac:dyDescent="0.25">
      <c r="B4" s="32"/>
      <c r="C4" s="51" t="s">
        <v>14</v>
      </c>
      <c r="D4" s="52"/>
      <c r="E4" s="52"/>
      <c r="F4" s="52"/>
      <c r="G4" s="51" t="s">
        <v>15</v>
      </c>
      <c r="H4" s="52"/>
      <c r="I4" s="51" t="s">
        <v>16</v>
      </c>
    </row>
    <row r="5" spans="2:9" s="8" customFormat="1" ht="15.75" customHeight="1" x14ac:dyDescent="0.25">
      <c r="B5" s="54" t="s">
        <v>45</v>
      </c>
      <c r="C5" s="105" t="s">
        <v>103</v>
      </c>
      <c r="D5" s="105"/>
      <c r="E5" s="105"/>
      <c r="F5" s="105"/>
      <c r="G5" s="104" t="s">
        <v>43</v>
      </c>
      <c r="H5" s="54"/>
      <c r="I5" s="57" t="s">
        <v>92</v>
      </c>
    </row>
    <row r="6" spans="2:9" s="8" customFormat="1" ht="15.75" customHeight="1" x14ac:dyDescent="0.25">
      <c r="B6" s="54" t="s">
        <v>46</v>
      </c>
      <c r="C6" s="105" t="s">
        <v>105</v>
      </c>
      <c r="D6" s="105"/>
      <c r="E6" s="105"/>
      <c r="F6" s="105"/>
      <c r="G6" s="104"/>
      <c r="H6" s="54"/>
      <c r="I6" s="57" t="s">
        <v>93</v>
      </c>
    </row>
    <row r="7" spans="2:9" s="8" customFormat="1" ht="15.75" customHeight="1" x14ac:dyDescent="0.25">
      <c r="B7" s="54" t="s">
        <v>47</v>
      </c>
      <c r="C7" s="105" t="s">
        <v>106</v>
      </c>
      <c r="D7" s="105"/>
      <c r="E7" s="105"/>
      <c r="F7" s="105"/>
      <c r="G7" s="104"/>
      <c r="H7" s="54"/>
      <c r="I7" s="57" t="s">
        <v>94</v>
      </c>
    </row>
    <row r="8" spans="2:9" ht="15.75" customHeight="1" x14ac:dyDescent="0.25">
      <c r="B8" s="54" t="s">
        <v>48</v>
      </c>
      <c r="C8" s="105" t="s">
        <v>107</v>
      </c>
      <c r="D8" s="105"/>
      <c r="E8" s="105"/>
      <c r="F8" s="105"/>
      <c r="G8" s="104"/>
      <c r="H8" s="58"/>
      <c r="I8" s="57" t="s">
        <v>95</v>
      </c>
    </row>
    <row r="9" spans="2:9" ht="15.75" customHeight="1" x14ac:dyDescent="0.25">
      <c r="B9" s="7"/>
      <c r="C9" s="7"/>
      <c r="D9" s="8"/>
      <c r="E9" s="8"/>
      <c r="F9" s="8"/>
      <c r="G9" s="7"/>
      <c r="I9" s="21"/>
    </row>
    <row r="10" spans="2:9" ht="15.75" customHeight="1" x14ac:dyDescent="0.25">
      <c r="B10" s="7"/>
      <c r="C10" s="7"/>
      <c r="D10" s="8"/>
      <c r="E10" s="8" t="s">
        <v>104</v>
      </c>
      <c r="F10" s="8"/>
      <c r="G10" s="7"/>
      <c r="I10" s="21"/>
    </row>
    <row r="11" spans="2:9" ht="15.75" customHeight="1" x14ac:dyDescent="0.25">
      <c r="I11" s="19"/>
    </row>
    <row r="12" spans="2:9" ht="15.75" customHeight="1" x14ac:dyDescent="0.25">
      <c r="B12" s="34" t="s">
        <v>9</v>
      </c>
      <c r="C12" s="34" t="s">
        <v>1</v>
      </c>
      <c r="D12" s="34" t="s">
        <v>2</v>
      </c>
      <c r="E12" s="34" t="s">
        <v>10</v>
      </c>
      <c r="F12" s="34" t="s">
        <v>11</v>
      </c>
      <c r="G12" s="34" t="s">
        <v>5</v>
      </c>
      <c r="H12" s="34" t="s">
        <v>12</v>
      </c>
      <c r="I12" s="34" t="s">
        <v>13</v>
      </c>
    </row>
    <row r="13" spans="2:9" ht="15.75" customHeight="1" x14ac:dyDescent="0.25">
      <c r="B13" s="35" t="s">
        <v>54</v>
      </c>
      <c r="C13" s="35" t="s">
        <v>55</v>
      </c>
      <c r="D13" s="35" t="s">
        <v>20</v>
      </c>
      <c r="E13" s="35" t="s">
        <v>56</v>
      </c>
      <c r="F13" s="35" t="s">
        <v>57</v>
      </c>
      <c r="G13" s="35"/>
      <c r="H13" s="35" t="s">
        <v>8</v>
      </c>
      <c r="I13" s="36" t="s">
        <v>41</v>
      </c>
    </row>
    <row r="14" spans="2:9" ht="15.75" customHeight="1" x14ac:dyDescent="0.25">
      <c r="B14" s="33"/>
      <c r="C14" s="24" t="s">
        <v>14</v>
      </c>
      <c r="D14" s="23"/>
      <c r="E14" s="23"/>
      <c r="F14" s="23"/>
      <c r="G14" s="24" t="s">
        <v>15</v>
      </c>
      <c r="H14" s="23"/>
      <c r="I14" s="25" t="s">
        <v>16</v>
      </c>
    </row>
    <row r="15" spans="2:9" ht="15.75" customHeight="1" x14ac:dyDescent="0.25">
      <c r="B15" s="54" t="s">
        <v>78</v>
      </c>
      <c r="C15" s="54" t="s">
        <v>111</v>
      </c>
      <c r="D15" s="54"/>
      <c r="E15" s="54"/>
      <c r="F15" s="55"/>
      <c r="G15" s="104" t="s">
        <v>44</v>
      </c>
      <c r="H15" s="56"/>
      <c r="I15" s="57" t="s">
        <v>96</v>
      </c>
    </row>
    <row r="16" spans="2:9" ht="15.75" customHeight="1" x14ac:dyDescent="0.25">
      <c r="B16" s="54" t="s">
        <v>79</v>
      </c>
      <c r="C16" s="54" t="s">
        <v>112</v>
      </c>
      <c r="D16" s="54"/>
      <c r="E16" s="54"/>
      <c r="F16" s="55"/>
      <c r="G16" s="104"/>
      <c r="H16" s="56"/>
      <c r="I16" s="57" t="s">
        <v>96</v>
      </c>
    </row>
    <row r="17" spans="2:9" ht="15.75" customHeight="1" x14ac:dyDescent="0.25">
      <c r="B17" s="54" t="s">
        <v>80</v>
      </c>
      <c r="C17" s="54" t="s">
        <v>113</v>
      </c>
      <c r="D17" s="54"/>
      <c r="E17" s="54"/>
      <c r="F17" s="55"/>
      <c r="G17" s="104"/>
      <c r="H17" s="56"/>
      <c r="I17" s="57" t="s">
        <v>96</v>
      </c>
    </row>
    <row r="18" spans="2:9" ht="15.75" customHeight="1" x14ac:dyDescent="0.25">
      <c r="B18" s="54" t="s">
        <v>81</v>
      </c>
      <c r="C18" s="54" t="s">
        <v>114</v>
      </c>
      <c r="D18" s="54"/>
      <c r="E18" s="54"/>
      <c r="F18" s="55"/>
      <c r="G18" s="104"/>
      <c r="H18" s="56"/>
      <c r="I18" s="57" t="s">
        <v>96</v>
      </c>
    </row>
    <row r="19" spans="2:9" ht="15.75" customHeight="1" x14ac:dyDescent="0.25">
      <c r="B19" s="54" t="s">
        <v>82</v>
      </c>
      <c r="C19" s="54" t="s">
        <v>115</v>
      </c>
      <c r="D19" s="54"/>
      <c r="E19" s="54"/>
      <c r="F19" s="55"/>
      <c r="G19" s="104"/>
      <c r="H19" s="56"/>
      <c r="I19" s="57" t="s">
        <v>96</v>
      </c>
    </row>
    <row r="20" spans="2:9" ht="15.75" customHeight="1" x14ac:dyDescent="0.25">
      <c r="I20" s="19"/>
    </row>
    <row r="21" spans="2:9" ht="13.2" x14ac:dyDescent="0.25">
      <c r="B21" s="37" t="s">
        <v>9</v>
      </c>
      <c r="C21" s="37" t="s">
        <v>1</v>
      </c>
      <c r="D21" s="37" t="s">
        <v>2</v>
      </c>
      <c r="E21" s="37" t="s">
        <v>10</v>
      </c>
      <c r="F21" s="37" t="s">
        <v>11</v>
      </c>
      <c r="G21" s="37" t="s">
        <v>5</v>
      </c>
      <c r="H21" s="37" t="s">
        <v>12</v>
      </c>
      <c r="I21" s="37" t="s">
        <v>13</v>
      </c>
    </row>
    <row r="22" spans="2:9" ht="26.4" x14ac:dyDescent="0.25">
      <c r="B22" s="16" t="s">
        <v>59</v>
      </c>
      <c r="C22" s="16" t="s">
        <v>102</v>
      </c>
      <c r="D22" s="16" t="s">
        <v>20</v>
      </c>
      <c r="E22" s="16" t="s">
        <v>99</v>
      </c>
      <c r="F22" s="53" t="s">
        <v>100</v>
      </c>
      <c r="G22" s="16"/>
      <c r="H22" s="16" t="s">
        <v>8</v>
      </c>
      <c r="I22" s="22" t="s">
        <v>41</v>
      </c>
    </row>
    <row r="23" spans="2:9" ht="15.75" customHeight="1" x14ac:dyDescent="0.25">
      <c r="B23" s="33"/>
      <c r="C23" s="38" t="s">
        <v>14</v>
      </c>
      <c r="D23" s="39"/>
      <c r="E23" s="39"/>
      <c r="F23" s="39"/>
      <c r="G23" s="38" t="s">
        <v>15</v>
      </c>
      <c r="H23" s="39"/>
      <c r="I23" s="40" t="s">
        <v>16</v>
      </c>
    </row>
    <row r="24" spans="2:9" ht="15.75" customHeight="1" x14ac:dyDescent="0.25">
      <c r="B24" s="54" t="s">
        <v>83</v>
      </c>
      <c r="C24" s="54" t="s">
        <v>108</v>
      </c>
      <c r="D24" s="54"/>
      <c r="E24" s="54"/>
      <c r="F24" s="55"/>
      <c r="G24" s="104" t="s">
        <v>42</v>
      </c>
      <c r="H24" s="56"/>
      <c r="I24" s="57" t="s">
        <v>97</v>
      </c>
    </row>
    <row r="25" spans="2:9" ht="15.75" customHeight="1" x14ac:dyDescent="0.25">
      <c r="B25" s="54" t="s">
        <v>85</v>
      </c>
      <c r="C25" s="54" t="s">
        <v>116</v>
      </c>
      <c r="D25" s="56"/>
      <c r="E25" s="56"/>
      <c r="F25" s="55"/>
      <c r="G25" s="104"/>
      <c r="H25" s="56"/>
      <c r="I25" s="57" t="s">
        <v>96</v>
      </c>
    </row>
    <row r="26" spans="2:9" ht="15.75" customHeight="1" x14ac:dyDescent="0.25">
      <c r="B26" s="54" t="s">
        <v>86</v>
      </c>
      <c r="C26" s="54" t="s">
        <v>49</v>
      </c>
      <c r="D26" s="54"/>
      <c r="E26" s="54"/>
      <c r="F26" s="55"/>
      <c r="G26" s="104"/>
      <c r="H26" s="56"/>
      <c r="I26" s="57" t="s">
        <v>96</v>
      </c>
    </row>
    <row r="27" spans="2:9" ht="15.75" customHeight="1" x14ac:dyDescent="0.25">
      <c r="B27" s="54" t="s">
        <v>87</v>
      </c>
      <c r="C27" s="54" t="s">
        <v>109</v>
      </c>
      <c r="D27" s="54"/>
      <c r="E27" s="54"/>
      <c r="F27" s="55"/>
      <c r="G27" s="104"/>
      <c r="H27" s="56"/>
      <c r="I27" s="57" t="s">
        <v>97</v>
      </c>
    </row>
    <row r="28" spans="2:9" ht="15.75" customHeight="1" x14ac:dyDescent="0.25">
      <c r="B28" s="54" t="s">
        <v>88</v>
      </c>
      <c r="C28" s="54" t="s">
        <v>117</v>
      </c>
      <c r="D28" s="54"/>
      <c r="E28" s="54"/>
      <c r="F28" s="56"/>
      <c r="G28" s="56"/>
      <c r="H28" s="56"/>
      <c r="I28" s="57" t="s">
        <v>97</v>
      </c>
    </row>
    <row r="29" spans="2:9" ht="15.75" customHeight="1" x14ac:dyDescent="0.25">
      <c r="I29" s="19"/>
    </row>
    <row r="30" spans="2:9" ht="15.75" customHeight="1" x14ac:dyDescent="0.25">
      <c r="B30" s="125" t="s">
        <v>9</v>
      </c>
      <c r="C30" s="125" t="s">
        <v>1</v>
      </c>
      <c r="D30" s="125" t="s">
        <v>2</v>
      </c>
      <c r="E30" s="125" t="s">
        <v>10</v>
      </c>
      <c r="F30" s="125" t="s">
        <v>11</v>
      </c>
      <c r="G30" s="125" t="s">
        <v>5</v>
      </c>
      <c r="H30" s="125" t="s">
        <v>12</v>
      </c>
      <c r="I30" s="125" t="s">
        <v>13</v>
      </c>
    </row>
    <row r="31" spans="2:9" ht="33.6" customHeight="1" x14ac:dyDescent="0.25">
      <c r="B31" s="126" t="s">
        <v>62</v>
      </c>
      <c r="C31" s="126" t="s">
        <v>176</v>
      </c>
      <c r="D31" s="126" t="s">
        <v>20</v>
      </c>
      <c r="E31" s="126" t="s">
        <v>177</v>
      </c>
      <c r="F31" s="126" t="s">
        <v>178</v>
      </c>
      <c r="G31" s="126"/>
      <c r="H31" s="126" t="s">
        <v>126</v>
      </c>
      <c r="I31" s="126" t="s">
        <v>127</v>
      </c>
    </row>
    <row r="32" spans="2:9" ht="15.75" customHeight="1" x14ac:dyDescent="0.25">
      <c r="B32" s="33"/>
      <c r="C32" s="127" t="s">
        <v>14</v>
      </c>
      <c r="D32" s="128"/>
      <c r="E32" s="128"/>
      <c r="F32" s="128"/>
      <c r="G32" s="127" t="s">
        <v>15</v>
      </c>
      <c r="H32" s="128"/>
      <c r="I32" s="129" t="s">
        <v>16</v>
      </c>
    </row>
    <row r="33" spans="1:9" ht="15.75" customHeight="1" x14ac:dyDescent="0.25">
      <c r="A33" s="80"/>
      <c r="B33" s="122" t="s">
        <v>84</v>
      </c>
      <c r="C33" s="123" t="s">
        <v>179</v>
      </c>
      <c r="D33" s="123"/>
      <c r="E33" s="123"/>
      <c r="F33" s="123"/>
      <c r="G33" s="107" t="s">
        <v>42</v>
      </c>
      <c r="I33" s="124" t="s">
        <v>97</v>
      </c>
    </row>
    <row r="34" spans="1:9" ht="15.75" customHeight="1" x14ac:dyDescent="0.25">
      <c r="A34" s="85"/>
      <c r="B34" s="122" t="s">
        <v>89</v>
      </c>
      <c r="C34" s="123" t="s">
        <v>180</v>
      </c>
      <c r="D34" s="123"/>
      <c r="E34" s="123"/>
      <c r="F34" s="123"/>
      <c r="G34" s="107"/>
      <c r="I34" s="124" t="s">
        <v>98</v>
      </c>
    </row>
    <row r="35" spans="1:9" ht="15.75" customHeight="1" x14ac:dyDescent="0.25">
      <c r="B35" s="122" t="s">
        <v>90</v>
      </c>
      <c r="C35" s="123" t="s">
        <v>181</v>
      </c>
      <c r="D35" s="123"/>
      <c r="E35" s="123"/>
      <c r="F35" s="123"/>
      <c r="G35" s="107"/>
      <c r="I35" s="124" t="s">
        <v>96</v>
      </c>
    </row>
    <row r="36" spans="1:9" ht="15.75" customHeight="1" x14ac:dyDescent="0.25">
      <c r="B36" s="122" t="s">
        <v>91</v>
      </c>
      <c r="C36" s="123" t="s">
        <v>182</v>
      </c>
      <c r="D36" s="123"/>
      <c r="E36" s="123"/>
      <c r="F36" s="123"/>
      <c r="G36" s="107"/>
      <c r="I36" s="124" t="s">
        <v>95</v>
      </c>
    </row>
    <row r="37" spans="1:9" ht="15.75" customHeight="1" x14ac:dyDescent="0.25">
      <c r="B37" s="122"/>
      <c r="C37" s="123"/>
      <c r="D37" s="123"/>
      <c r="E37" s="123"/>
      <c r="F37" s="123"/>
      <c r="G37" s="108"/>
      <c r="I37" s="124"/>
    </row>
    <row r="38" spans="1:9" ht="15.75" customHeight="1" x14ac:dyDescent="0.25">
      <c r="A38" s="84"/>
      <c r="B38" s="74"/>
      <c r="C38" s="74"/>
    </row>
    <row r="39" spans="1:9" ht="13.2" hidden="1" customHeight="1" x14ac:dyDescent="0.25">
      <c r="A39" s="82"/>
    </row>
    <row r="40" spans="1:9" ht="15.6" hidden="1" customHeight="1" x14ac:dyDescent="0.25"/>
    <row r="41" spans="1:9" ht="7.8" hidden="1" customHeight="1" x14ac:dyDescent="0.25"/>
    <row r="42" spans="1:9" ht="15.75" customHeight="1" x14ac:dyDescent="0.25"/>
    <row r="43" spans="1:9" ht="15.75" customHeight="1" x14ac:dyDescent="0.25">
      <c r="B43" s="61" t="s">
        <v>9</v>
      </c>
      <c r="C43" s="61" t="s">
        <v>1</v>
      </c>
      <c r="D43" s="61" t="s">
        <v>2</v>
      </c>
      <c r="E43" s="61" t="s">
        <v>10</v>
      </c>
      <c r="F43" s="61" t="s">
        <v>11</v>
      </c>
      <c r="G43" s="61" t="s">
        <v>5</v>
      </c>
      <c r="H43" s="61" t="s">
        <v>12</v>
      </c>
      <c r="I43" s="61" t="s">
        <v>13</v>
      </c>
    </row>
    <row r="44" spans="1:9" ht="31.8" customHeight="1" x14ac:dyDescent="0.25">
      <c r="B44" s="62" t="s">
        <v>122</v>
      </c>
      <c r="C44" s="62" t="s">
        <v>123</v>
      </c>
      <c r="D44" s="62" t="s">
        <v>20</v>
      </c>
      <c r="E44" s="62" t="s">
        <v>124</v>
      </c>
      <c r="F44" s="62" t="s">
        <v>125</v>
      </c>
      <c r="G44" s="62"/>
      <c r="H44" s="62" t="s">
        <v>126</v>
      </c>
      <c r="I44" s="62" t="s">
        <v>127</v>
      </c>
    </row>
    <row r="45" spans="1:9" ht="15.75" customHeight="1" x14ac:dyDescent="0.25">
      <c r="B45" s="33"/>
      <c r="C45" s="63" t="s">
        <v>14</v>
      </c>
      <c r="D45" s="64"/>
      <c r="E45" s="64"/>
      <c r="F45" s="64"/>
      <c r="G45" s="63" t="s">
        <v>15</v>
      </c>
      <c r="H45" s="64"/>
      <c r="I45" s="65" t="s">
        <v>16</v>
      </c>
    </row>
    <row r="46" spans="1:9" ht="15.75" customHeight="1" x14ac:dyDescent="0.25">
      <c r="B46" s="59" t="s">
        <v>128</v>
      </c>
      <c r="C46" s="106" t="s">
        <v>134</v>
      </c>
      <c r="D46" s="106"/>
      <c r="E46" s="106"/>
      <c r="F46" s="106"/>
      <c r="G46" s="104" t="s">
        <v>43</v>
      </c>
      <c r="H46" s="56"/>
      <c r="I46" s="60" t="s">
        <v>95</v>
      </c>
    </row>
    <row r="47" spans="1:9" ht="15.75" customHeight="1" x14ac:dyDescent="0.25">
      <c r="B47" s="59" t="s">
        <v>129</v>
      </c>
      <c r="C47" s="106" t="s">
        <v>138</v>
      </c>
      <c r="D47" s="106"/>
      <c r="E47" s="106"/>
      <c r="F47" s="106"/>
      <c r="G47" s="104"/>
      <c r="H47" s="56"/>
      <c r="I47" s="60" t="s">
        <v>98</v>
      </c>
    </row>
    <row r="48" spans="1:9" ht="15.75" customHeight="1" x14ac:dyDescent="0.25">
      <c r="B48" s="59" t="s">
        <v>130</v>
      </c>
      <c r="C48" s="106" t="s">
        <v>135</v>
      </c>
      <c r="D48" s="106"/>
      <c r="E48" s="106"/>
      <c r="F48" s="106"/>
      <c r="G48" s="104"/>
      <c r="H48" s="56"/>
      <c r="I48" s="60" t="s">
        <v>94</v>
      </c>
    </row>
    <row r="49" spans="1:10" ht="15.75" customHeight="1" x14ac:dyDescent="0.25">
      <c r="B49" s="59" t="s">
        <v>131</v>
      </c>
      <c r="C49" s="106" t="s">
        <v>136</v>
      </c>
      <c r="D49" s="106"/>
      <c r="E49" s="106"/>
      <c r="F49" s="106"/>
      <c r="G49" s="104"/>
      <c r="H49" s="56"/>
      <c r="I49" s="60" t="s">
        <v>98</v>
      </c>
    </row>
    <row r="50" spans="1:10" ht="15.75" customHeight="1" x14ac:dyDescent="0.25">
      <c r="B50" s="59" t="s">
        <v>132</v>
      </c>
      <c r="C50" s="115" t="s">
        <v>137</v>
      </c>
      <c r="D50" s="115"/>
      <c r="E50" s="115"/>
      <c r="F50" s="115"/>
      <c r="G50" s="104"/>
      <c r="H50" s="56"/>
      <c r="I50" s="60" t="s">
        <v>94</v>
      </c>
    </row>
    <row r="51" spans="1:10" ht="24.6" customHeight="1" x14ac:dyDescent="0.25">
      <c r="B51" s="76"/>
      <c r="C51" s="88"/>
      <c r="D51" s="86"/>
      <c r="E51" s="86"/>
      <c r="F51" s="87"/>
      <c r="G51" s="83"/>
    </row>
    <row r="52" spans="1:10" ht="15.75" customHeight="1" x14ac:dyDescent="0.25">
      <c r="C52" s="85"/>
      <c r="D52" s="85"/>
      <c r="E52" s="85"/>
      <c r="F52" s="85"/>
    </row>
    <row r="53" spans="1:10" ht="15.75" customHeight="1" x14ac:dyDescent="0.25">
      <c r="B53" s="41" t="s">
        <v>9</v>
      </c>
      <c r="C53" s="41" t="s">
        <v>1</v>
      </c>
      <c r="D53" s="41" t="s">
        <v>2</v>
      </c>
      <c r="E53" s="41" t="s">
        <v>10</v>
      </c>
      <c r="F53" s="41" t="s">
        <v>11</v>
      </c>
      <c r="G53" s="41" t="s">
        <v>5</v>
      </c>
      <c r="H53" s="41" t="s">
        <v>12</v>
      </c>
      <c r="I53" s="41" t="s">
        <v>13</v>
      </c>
    </row>
    <row r="54" spans="1:10" ht="29.4" customHeight="1" x14ac:dyDescent="0.25">
      <c r="B54" s="42" t="s">
        <v>133</v>
      </c>
      <c r="C54" s="42" t="s">
        <v>63</v>
      </c>
      <c r="D54" s="42" t="s">
        <v>20</v>
      </c>
      <c r="E54" s="43" t="s">
        <v>64</v>
      </c>
      <c r="F54" s="43" t="s">
        <v>66</v>
      </c>
      <c r="G54" s="44"/>
      <c r="H54" s="42" t="s">
        <v>8</v>
      </c>
      <c r="I54" s="45" t="s">
        <v>41</v>
      </c>
    </row>
    <row r="55" spans="1:10" ht="15.75" customHeight="1" x14ac:dyDescent="0.25">
      <c r="B55" s="33"/>
      <c r="C55" s="46" t="s">
        <v>14</v>
      </c>
      <c r="D55" s="47"/>
      <c r="E55" s="47"/>
      <c r="F55" s="47"/>
      <c r="G55" s="46" t="s">
        <v>15</v>
      </c>
      <c r="H55" s="47"/>
      <c r="I55" s="48" t="s">
        <v>16</v>
      </c>
    </row>
    <row r="56" spans="1:10" ht="15.75" customHeight="1" x14ac:dyDescent="0.25">
      <c r="B56" s="54" t="s">
        <v>171</v>
      </c>
      <c r="C56" s="54" t="s">
        <v>121</v>
      </c>
      <c r="D56" s="54"/>
      <c r="E56" s="54"/>
      <c r="F56" s="54"/>
      <c r="G56" s="104" t="s">
        <v>44</v>
      </c>
      <c r="H56" s="54"/>
      <c r="I56" s="57" t="s">
        <v>98</v>
      </c>
    </row>
    <row r="57" spans="1:10" ht="15.75" customHeight="1" x14ac:dyDescent="0.25">
      <c r="B57" s="54" t="s">
        <v>172</v>
      </c>
      <c r="C57" s="54" t="s">
        <v>118</v>
      </c>
      <c r="D57" s="54"/>
      <c r="E57" s="54"/>
      <c r="F57" s="54"/>
      <c r="G57" s="104"/>
      <c r="H57" s="54"/>
      <c r="I57" s="57" t="s">
        <v>96</v>
      </c>
    </row>
    <row r="58" spans="1:10" ht="15.75" customHeight="1" x14ac:dyDescent="0.25">
      <c r="B58" s="54" t="s">
        <v>173</v>
      </c>
      <c r="C58" s="54" t="s">
        <v>120</v>
      </c>
      <c r="D58" s="54"/>
      <c r="E58" s="54"/>
      <c r="F58" s="54"/>
      <c r="G58" s="104"/>
      <c r="H58" s="54"/>
      <c r="I58" s="57" t="s">
        <v>98</v>
      </c>
    </row>
    <row r="59" spans="1:10" ht="15.75" customHeight="1" x14ac:dyDescent="0.25">
      <c r="B59" s="54" t="s">
        <v>174</v>
      </c>
      <c r="C59" s="54" t="s">
        <v>119</v>
      </c>
      <c r="D59" s="54"/>
      <c r="E59" s="54"/>
      <c r="F59" s="54"/>
      <c r="G59" s="104"/>
      <c r="H59" s="54"/>
      <c r="I59" s="57" t="s">
        <v>96</v>
      </c>
    </row>
    <row r="60" spans="1:10" ht="15.75" customHeight="1" x14ac:dyDescent="0.25">
      <c r="B60" s="54" t="s">
        <v>175</v>
      </c>
      <c r="C60" s="54" t="s">
        <v>110</v>
      </c>
      <c r="D60" s="54"/>
      <c r="E60" s="54"/>
      <c r="F60" s="54"/>
      <c r="G60" s="104"/>
      <c r="H60" s="54"/>
      <c r="I60" s="57" t="s">
        <v>98</v>
      </c>
    </row>
    <row r="61" spans="1:10" ht="48.6" customHeight="1" x14ac:dyDescent="0.25">
      <c r="A61" s="80"/>
      <c r="J61" s="81"/>
    </row>
    <row r="62" spans="1:10" ht="15.75" customHeight="1" x14ac:dyDescent="0.25"/>
    <row r="63" spans="1:10" ht="15.75" customHeight="1" x14ac:dyDescent="0.25">
      <c r="B63" s="94" t="s">
        <v>9</v>
      </c>
      <c r="C63" s="94" t="s">
        <v>1</v>
      </c>
      <c r="D63" s="94" t="s">
        <v>2</v>
      </c>
      <c r="E63" s="94" t="s">
        <v>10</v>
      </c>
      <c r="F63" s="94" t="s">
        <v>11</v>
      </c>
      <c r="G63" s="94" t="s">
        <v>5</v>
      </c>
      <c r="H63" s="94" t="s">
        <v>12</v>
      </c>
      <c r="I63" s="94" t="s">
        <v>13</v>
      </c>
    </row>
    <row r="64" spans="1:10" ht="24.6" customHeight="1" x14ac:dyDescent="0.25">
      <c r="B64" s="98" t="s">
        <v>142</v>
      </c>
      <c r="C64" s="98" t="s">
        <v>143</v>
      </c>
      <c r="D64" s="98" t="s">
        <v>20</v>
      </c>
      <c r="E64" s="98" t="s">
        <v>144</v>
      </c>
      <c r="F64" s="98" t="s">
        <v>145</v>
      </c>
      <c r="G64" s="98"/>
      <c r="H64" s="98" t="s">
        <v>126</v>
      </c>
      <c r="I64" s="98" t="s">
        <v>127</v>
      </c>
    </row>
    <row r="65" spans="2:9" ht="15.75" customHeight="1" x14ac:dyDescent="0.25">
      <c r="B65" s="33"/>
      <c r="C65" s="95" t="s">
        <v>14</v>
      </c>
      <c r="D65" s="96"/>
      <c r="E65" s="96"/>
      <c r="F65" s="96"/>
      <c r="G65" s="95" t="s">
        <v>15</v>
      </c>
      <c r="H65" s="96"/>
      <c r="I65" s="97" t="s">
        <v>16</v>
      </c>
    </row>
    <row r="66" spans="2:9" ht="15.75" customHeight="1" x14ac:dyDescent="0.25">
      <c r="B66" s="76" t="s">
        <v>146</v>
      </c>
      <c r="C66" s="109" t="s">
        <v>147</v>
      </c>
      <c r="D66" s="110"/>
      <c r="E66" s="110"/>
      <c r="F66" s="111"/>
      <c r="G66" s="107" t="s">
        <v>42</v>
      </c>
      <c r="I66" s="74" t="s">
        <v>95</v>
      </c>
    </row>
    <row r="67" spans="2:9" ht="15.75" customHeight="1" x14ac:dyDescent="0.25">
      <c r="B67" s="76" t="s">
        <v>148</v>
      </c>
      <c r="C67" s="109" t="s">
        <v>149</v>
      </c>
      <c r="D67" s="110"/>
      <c r="E67" s="110"/>
      <c r="F67" s="111"/>
      <c r="G67" s="107"/>
      <c r="I67" s="74" t="s">
        <v>95</v>
      </c>
    </row>
    <row r="68" spans="2:9" ht="15.75" customHeight="1" x14ac:dyDescent="0.25">
      <c r="B68" s="76" t="s">
        <v>150</v>
      </c>
      <c r="C68" s="109" t="s">
        <v>151</v>
      </c>
      <c r="D68" s="110"/>
      <c r="E68" s="110"/>
      <c r="F68" s="111"/>
      <c r="G68" s="107"/>
      <c r="I68" s="74" t="s">
        <v>95</v>
      </c>
    </row>
    <row r="69" spans="2:9" ht="15.75" customHeight="1" x14ac:dyDescent="0.25">
      <c r="B69" s="76" t="s">
        <v>152</v>
      </c>
      <c r="C69" s="109" t="s">
        <v>153</v>
      </c>
      <c r="D69" s="110"/>
      <c r="E69" s="110"/>
      <c r="F69" s="111"/>
      <c r="G69" s="107"/>
      <c r="I69" s="75" t="s">
        <v>98</v>
      </c>
    </row>
    <row r="70" spans="2:9" ht="15.75" customHeight="1" x14ac:dyDescent="0.25">
      <c r="B70" s="76"/>
      <c r="C70" s="112"/>
      <c r="D70" s="113"/>
      <c r="E70" s="113"/>
      <c r="F70" s="114"/>
      <c r="G70" s="108"/>
      <c r="I70" s="75" t="s">
        <v>98</v>
      </c>
    </row>
    <row r="71" spans="2:9" ht="15.75" customHeight="1" x14ac:dyDescent="0.25">
      <c r="B71" s="77"/>
      <c r="C71" s="78"/>
      <c r="D71" s="78"/>
      <c r="E71" s="78"/>
      <c r="F71" s="79"/>
    </row>
    <row r="72" spans="2:9" ht="15.75" customHeight="1" x14ac:dyDescent="0.25"/>
    <row r="73" spans="2:9" ht="15.75" customHeight="1" x14ac:dyDescent="0.25">
      <c r="B73" s="89" t="s">
        <v>9</v>
      </c>
      <c r="C73" s="89" t="s">
        <v>1</v>
      </c>
      <c r="D73" s="89" t="s">
        <v>2</v>
      </c>
      <c r="E73" s="89" t="s">
        <v>10</v>
      </c>
      <c r="F73" s="89" t="s">
        <v>11</v>
      </c>
      <c r="G73" s="89" t="s">
        <v>5</v>
      </c>
      <c r="H73" s="89" t="s">
        <v>12</v>
      </c>
      <c r="I73" s="89" t="s">
        <v>13</v>
      </c>
    </row>
    <row r="74" spans="2:9" ht="33" customHeight="1" x14ac:dyDescent="0.25">
      <c r="B74" s="99" t="s">
        <v>154</v>
      </c>
      <c r="C74" s="99" t="s">
        <v>155</v>
      </c>
      <c r="D74" s="99" t="s">
        <v>20</v>
      </c>
      <c r="E74" s="99" t="s">
        <v>156</v>
      </c>
      <c r="F74" s="99" t="s">
        <v>157</v>
      </c>
      <c r="G74" s="99"/>
      <c r="H74" s="99" t="s">
        <v>8</v>
      </c>
      <c r="I74" s="99" t="s">
        <v>127</v>
      </c>
    </row>
    <row r="75" spans="2:9" ht="15.75" customHeight="1" x14ac:dyDescent="0.25">
      <c r="B75" s="33"/>
      <c r="C75" s="90" t="s">
        <v>14</v>
      </c>
      <c r="D75" s="91"/>
      <c r="E75" s="91"/>
      <c r="F75" s="91"/>
      <c r="G75" s="90" t="s">
        <v>15</v>
      </c>
      <c r="H75" s="91"/>
      <c r="I75" s="92" t="s">
        <v>16</v>
      </c>
    </row>
    <row r="76" spans="2:9" ht="15.75" customHeight="1" x14ac:dyDescent="0.25">
      <c r="B76" s="76" t="s">
        <v>158</v>
      </c>
      <c r="C76" s="109" t="s">
        <v>159</v>
      </c>
      <c r="D76" s="110"/>
      <c r="E76" s="110"/>
      <c r="F76" s="111"/>
      <c r="G76" s="107" t="s">
        <v>44</v>
      </c>
      <c r="I76" s="73" t="s">
        <v>98</v>
      </c>
    </row>
    <row r="77" spans="2:9" ht="15.75" customHeight="1" x14ac:dyDescent="0.25">
      <c r="B77" s="76" t="s">
        <v>160</v>
      </c>
      <c r="C77" s="109" t="s">
        <v>161</v>
      </c>
      <c r="D77" s="110"/>
      <c r="E77" s="110"/>
      <c r="F77" s="111"/>
      <c r="G77" s="107"/>
      <c r="I77" s="73" t="s">
        <v>98</v>
      </c>
    </row>
    <row r="78" spans="2:9" ht="15.75" customHeight="1" x14ac:dyDescent="0.25">
      <c r="B78" s="76" t="s">
        <v>162</v>
      </c>
      <c r="C78" s="109" t="s">
        <v>163</v>
      </c>
      <c r="D78" s="110"/>
      <c r="E78" s="110"/>
      <c r="F78" s="111"/>
      <c r="G78" s="107"/>
      <c r="I78" s="73" t="s">
        <v>98</v>
      </c>
    </row>
    <row r="79" spans="2:9" ht="15.75" customHeight="1" x14ac:dyDescent="0.25"/>
    <row r="80" spans="2:9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</sheetData>
  <mergeCells count="29">
    <mergeCell ref="C69:F69"/>
    <mergeCell ref="C76:F76"/>
    <mergeCell ref="C77:F77"/>
    <mergeCell ref="C78:F78"/>
    <mergeCell ref="G76:G78"/>
    <mergeCell ref="G66:G69"/>
    <mergeCell ref="C49:F49"/>
    <mergeCell ref="C50:F50"/>
    <mergeCell ref="G46:G50"/>
    <mergeCell ref="C66:F66"/>
    <mergeCell ref="C68:F68"/>
    <mergeCell ref="G56:G60"/>
    <mergeCell ref="C48:F48"/>
    <mergeCell ref="C47:F47"/>
    <mergeCell ref="C46:F46"/>
    <mergeCell ref="C33:F33"/>
    <mergeCell ref="C34:F34"/>
    <mergeCell ref="C35:F35"/>
    <mergeCell ref="C36:F36"/>
    <mergeCell ref="C37:F37"/>
    <mergeCell ref="G33:G36"/>
    <mergeCell ref="G5:G8"/>
    <mergeCell ref="G15:G19"/>
    <mergeCell ref="G24:G27"/>
    <mergeCell ref="C5:F5"/>
    <mergeCell ref="C6:F6"/>
    <mergeCell ref="C7:F7"/>
    <mergeCell ref="C8:F8"/>
    <mergeCell ref="C67:F67"/>
  </mergeCells>
  <phoneticPr fontId="4" type="noConversion"/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H985"/>
  <sheetViews>
    <sheetView zoomScale="85" zoomScaleNormal="85" workbookViewId="0">
      <selection activeCell="V37" sqref="V37"/>
    </sheetView>
  </sheetViews>
  <sheetFormatPr baseColWidth="10" defaultColWidth="12.5546875" defaultRowHeight="15" customHeight="1" x14ac:dyDescent="0.25"/>
  <cols>
    <col min="1" max="1" width="12.44140625" customWidth="1"/>
    <col min="2" max="2" width="24.5546875" customWidth="1"/>
    <col min="3" max="26" width="12.44140625" customWidth="1"/>
  </cols>
  <sheetData>
    <row r="1" spans="1:34" ht="15.75" customHeight="1" x14ac:dyDescent="0.25"/>
    <row r="2" spans="1:34" ht="15.75" customHeight="1" x14ac:dyDescent="0.25"/>
    <row r="3" spans="1:34" ht="15.75" customHeight="1" x14ac:dyDescent="0.25">
      <c r="B3" s="2"/>
      <c r="C3" s="30" t="s">
        <v>16</v>
      </c>
      <c r="D3" s="14" t="s">
        <v>67</v>
      </c>
      <c r="E3" s="14" t="s">
        <v>68</v>
      </c>
      <c r="F3" s="14" t="s">
        <v>69</v>
      </c>
      <c r="G3" s="14" t="s">
        <v>70</v>
      </c>
      <c r="H3" s="14" t="s">
        <v>71</v>
      </c>
      <c r="I3" s="14" t="s">
        <v>22</v>
      </c>
      <c r="J3" s="14" t="s">
        <v>23</v>
      </c>
      <c r="K3" s="14" t="s">
        <v>24</v>
      </c>
      <c r="L3" s="2" t="s">
        <v>25</v>
      </c>
      <c r="M3" s="2" t="s">
        <v>26</v>
      </c>
      <c r="N3" s="2" t="s">
        <v>27</v>
      </c>
      <c r="O3" s="2" t="s">
        <v>28</v>
      </c>
      <c r="P3" s="2" t="s">
        <v>29</v>
      </c>
      <c r="Q3" s="2" t="s">
        <v>30</v>
      </c>
      <c r="R3" s="2" t="s">
        <v>31</v>
      </c>
      <c r="S3" s="2" t="s">
        <v>32</v>
      </c>
      <c r="T3" s="2" t="s">
        <v>72</v>
      </c>
      <c r="U3" s="2" t="s">
        <v>33</v>
      </c>
      <c r="V3" s="2" t="s">
        <v>34</v>
      </c>
      <c r="W3" s="2" t="s">
        <v>35</v>
      </c>
      <c r="X3" s="2" t="s">
        <v>36</v>
      </c>
      <c r="Y3" s="2" t="s">
        <v>37</v>
      </c>
      <c r="Z3" s="2" t="s">
        <v>38</v>
      </c>
      <c r="AA3" s="18" t="s">
        <v>39</v>
      </c>
      <c r="AB3" s="18" t="s">
        <v>40</v>
      </c>
      <c r="AC3" s="18" t="s">
        <v>73</v>
      </c>
      <c r="AD3" s="18" t="s">
        <v>74</v>
      </c>
      <c r="AE3" s="18" t="s">
        <v>75</v>
      </c>
      <c r="AF3" s="18" t="s">
        <v>76</v>
      </c>
      <c r="AG3" s="18" t="s">
        <v>77</v>
      </c>
      <c r="AH3" s="2" t="s">
        <v>17</v>
      </c>
    </row>
    <row r="4" spans="1:34" ht="15.75" customHeight="1" x14ac:dyDescent="0.25">
      <c r="B4" s="28" t="s">
        <v>45</v>
      </c>
      <c r="C4" s="27" t="s">
        <v>92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4">
        <f>SUM(D4:AG4)</f>
        <v>0</v>
      </c>
    </row>
    <row r="5" spans="1:34" ht="15.75" customHeight="1" x14ac:dyDescent="0.25">
      <c r="B5" s="28" t="s">
        <v>46</v>
      </c>
      <c r="C5" s="27" t="s">
        <v>93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4">
        <f>SUM(D5:AG5)</f>
        <v>0</v>
      </c>
    </row>
    <row r="6" spans="1:34" ht="15.75" customHeight="1" x14ac:dyDescent="0.25">
      <c r="A6" s="2"/>
      <c r="B6" s="28" t="s">
        <v>47</v>
      </c>
      <c r="C6" s="27" t="s">
        <v>94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4">
        <f>SUM(D6:AG6)</f>
        <v>0</v>
      </c>
    </row>
    <row r="7" spans="1:34" ht="15.75" customHeight="1" x14ac:dyDescent="0.25">
      <c r="B7" s="28" t="s">
        <v>48</v>
      </c>
      <c r="C7" s="27" t="s">
        <v>95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4">
        <f>SUM(D7:AG7)</f>
        <v>0</v>
      </c>
    </row>
    <row r="8" spans="1:34" ht="15.75" customHeight="1" x14ac:dyDescent="0.25">
      <c r="B8" s="1"/>
      <c r="C8" s="20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1"/>
    </row>
    <row r="9" spans="1:34" ht="15.75" customHeight="1" x14ac:dyDescent="0.25">
      <c r="B9" s="28" t="s">
        <v>78</v>
      </c>
      <c r="C9" s="27" t="s">
        <v>96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4">
        <f>SUM(D9:AG9)</f>
        <v>0</v>
      </c>
    </row>
    <row r="10" spans="1:34" ht="15.75" customHeight="1" x14ac:dyDescent="0.25">
      <c r="B10" s="28" t="s">
        <v>79</v>
      </c>
      <c r="C10" s="27" t="s">
        <v>96</v>
      </c>
      <c r="D10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4">
        <f t="shared" ref="AH10" si="0">SUM(D10:AG10)</f>
        <v>0</v>
      </c>
    </row>
    <row r="11" spans="1:34" ht="15.75" customHeight="1" x14ac:dyDescent="0.25">
      <c r="B11" s="28" t="s">
        <v>80</v>
      </c>
      <c r="C11" s="27" t="s">
        <v>96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4">
        <f>SUM(D11:AG11)</f>
        <v>0</v>
      </c>
    </row>
    <row r="12" spans="1:34" ht="15.75" customHeight="1" x14ac:dyDescent="0.25">
      <c r="B12" s="28" t="s">
        <v>81</v>
      </c>
      <c r="C12" s="27" t="s">
        <v>96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4">
        <f>SUM(D12:AG12)</f>
        <v>0</v>
      </c>
    </row>
    <row r="13" spans="1:34" ht="15.75" customHeight="1" x14ac:dyDescent="0.25">
      <c r="B13" s="29" t="s">
        <v>82</v>
      </c>
      <c r="C13" s="27" t="s">
        <v>96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4">
        <f>SUM(D13:AG13)</f>
        <v>0</v>
      </c>
    </row>
    <row r="14" spans="1:34" ht="15.75" customHeight="1" x14ac:dyDescent="0.25">
      <c r="C14" s="15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4" ht="15.75" customHeight="1" x14ac:dyDescent="0.25">
      <c r="B15" s="28" t="s">
        <v>83</v>
      </c>
      <c r="C15" s="27" t="s">
        <v>97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4">
        <f>SUM(D15:AG15)</f>
        <v>0</v>
      </c>
    </row>
    <row r="16" spans="1:34" ht="15.75" customHeight="1" x14ac:dyDescent="0.25">
      <c r="B16" s="28" t="s">
        <v>85</v>
      </c>
      <c r="C16" s="27" t="s">
        <v>96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4">
        <f>SUM(D16:AG16)</f>
        <v>0</v>
      </c>
    </row>
    <row r="17" spans="2:34" ht="15.75" customHeight="1" x14ac:dyDescent="0.25">
      <c r="B17" s="28" t="s">
        <v>86</v>
      </c>
      <c r="C17" s="27" t="s">
        <v>96</v>
      </c>
      <c r="D17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4">
        <f t="shared" ref="AH17" si="1">SUM(D17:AG17)</f>
        <v>0</v>
      </c>
    </row>
    <row r="18" spans="2:34" ht="15.75" customHeight="1" x14ac:dyDescent="0.25">
      <c r="B18" s="28" t="s">
        <v>87</v>
      </c>
      <c r="C18" s="27" t="s">
        <v>97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4">
        <f>SUM(D18:AG18)</f>
        <v>0</v>
      </c>
    </row>
    <row r="19" spans="2:34" ht="15.75" customHeight="1" x14ac:dyDescent="0.25">
      <c r="B19" s="28" t="s">
        <v>88</v>
      </c>
      <c r="C19" s="26">
        <v>5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4">
        <f>SUM(D19:AG19)</f>
        <v>0</v>
      </c>
    </row>
    <row r="20" spans="2:34" ht="15.75" customHeight="1" x14ac:dyDescent="0.25">
      <c r="C20" s="15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2:34" ht="15.75" customHeight="1" x14ac:dyDescent="0.25">
      <c r="B21" s="28" t="s">
        <v>84</v>
      </c>
      <c r="C21" s="27" t="s">
        <v>98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4">
        <f>SUM(D21:AG21)</f>
        <v>0</v>
      </c>
    </row>
    <row r="22" spans="2:34" ht="15.75" customHeight="1" x14ac:dyDescent="0.25">
      <c r="B22" s="28" t="s">
        <v>89</v>
      </c>
      <c r="C22" s="27" t="s">
        <v>96</v>
      </c>
      <c r="D22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4">
        <f>SUM(D22:AG22)</f>
        <v>0</v>
      </c>
    </row>
    <row r="23" spans="2:34" ht="15.75" customHeight="1" x14ac:dyDescent="0.25">
      <c r="B23" s="28" t="s">
        <v>90</v>
      </c>
      <c r="C23" s="27" t="s">
        <v>98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4">
        <f t="shared" ref="AH23:AH28" si="2">SUM(D23:AG23)</f>
        <v>0</v>
      </c>
    </row>
    <row r="24" spans="2:34" ht="15.75" customHeight="1" x14ac:dyDescent="0.25">
      <c r="B24" s="28" t="s">
        <v>91</v>
      </c>
      <c r="C24" s="27" t="s">
        <v>96</v>
      </c>
      <c r="D24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4">
        <f t="shared" si="2"/>
        <v>0</v>
      </c>
    </row>
    <row r="25" spans="2:34" ht="15.75" customHeight="1" x14ac:dyDescent="0.25"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12"/>
    </row>
    <row r="26" spans="2:34" ht="15.75" customHeight="1" x14ac:dyDescent="0.25">
      <c r="B26" s="1"/>
    </row>
    <row r="27" spans="2:34" ht="15.75" customHeight="1" x14ac:dyDescent="0.25">
      <c r="B27" s="5" t="s">
        <v>18</v>
      </c>
      <c r="C27">
        <f>SUM(C4:C25)</f>
        <v>5</v>
      </c>
      <c r="D27" s="2">
        <f t="shared" ref="D27:AG27" si="3">C27-SUM(D4:D6,D8:D9,D11:D13,D15:D16, D18:D19, D21, D23,D24,D22)</f>
        <v>5</v>
      </c>
      <c r="E27" s="2">
        <f t="shared" si="3"/>
        <v>5</v>
      </c>
      <c r="F27" s="2">
        <f t="shared" si="3"/>
        <v>5</v>
      </c>
      <c r="G27" s="2">
        <f t="shared" si="3"/>
        <v>5</v>
      </c>
      <c r="H27" s="2">
        <f t="shared" si="3"/>
        <v>5</v>
      </c>
      <c r="I27" s="2">
        <f t="shared" si="3"/>
        <v>5</v>
      </c>
      <c r="J27" s="2">
        <f t="shared" si="3"/>
        <v>5</v>
      </c>
      <c r="K27" s="2">
        <f t="shared" si="3"/>
        <v>5</v>
      </c>
      <c r="L27" s="2">
        <f t="shared" si="3"/>
        <v>5</v>
      </c>
      <c r="M27" s="2">
        <f t="shared" si="3"/>
        <v>5</v>
      </c>
      <c r="N27" s="2">
        <f t="shared" si="3"/>
        <v>5</v>
      </c>
      <c r="O27" s="2">
        <f t="shared" si="3"/>
        <v>5</v>
      </c>
      <c r="P27" s="2">
        <f t="shared" si="3"/>
        <v>5</v>
      </c>
      <c r="Q27" s="2">
        <f t="shared" si="3"/>
        <v>5</v>
      </c>
      <c r="R27" s="2">
        <f t="shared" si="3"/>
        <v>5</v>
      </c>
      <c r="S27" s="2">
        <f t="shared" si="3"/>
        <v>5</v>
      </c>
      <c r="T27" s="2">
        <f t="shared" si="3"/>
        <v>5</v>
      </c>
      <c r="U27" s="2">
        <f t="shared" si="3"/>
        <v>5</v>
      </c>
      <c r="V27" s="2">
        <f t="shared" si="3"/>
        <v>5</v>
      </c>
      <c r="W27" s="2">
        <f t="shared" si="3"/>
        <v>5</v>
      </c>
      <c r="X27" s="2">
        <f t="shared" si="3"/>
        <v>5</v>
      </c>
      <c r="Y27" s="2">
        <f t="shared" si="3"/>
        <v>5</v>
      </c>
      <c r="Z27" s="2">
        <f t="shared" si="3"/>
        <v>5</v>
      </c>
      <c r="AA27" s="2">
        <f t="shared" si="3"/>
        <v>5</v>
      </c>
      <c r="AB27" s="2">
        <f t="shared" si="3"/>
        <v>5</v>
      </c>
      <c r="AC27" s="2">
        <f t="shared" si="3"/>
        <v>5</v>
      </c>
      <c r="AD27" s="2">
        <f t="shared" si="3"/>
        <v>5</v>
      </c>
      <c r="AE27" s="2">
        <f t="shared" si="3"/>
        <v>5</v>
      </c>
      <c r="AF27" s="2">
        <f t="shared" si="3"/>
        <v>5</v>
      </c>
      <c r="AG27" s="2">
        <f t="shared" si="3"/>
        <v>5</v>
      </c>
      <c r="AH27" s="4">
        <f t="shared" si="2"/>
        <v>150</v>
      </c>
    </row>
    <row r="28" spans="2:34" ht="15.75" customHeight="1" x14ac:dyDescent="0.25">
      <c r="B28" s="5" t="s">
        <v>19</v>
      </c>
      <c r="C28">
        <f>SUM(C4:C25)</f>
        <v>5</v>
      </c>
      <c r="D28" s="11">
        <f>C28-(SUM($C$4:$C$6,$C$8:$C$9,$C$11:$C$13,$C$15:$C$16,$C$18:$C$19:$C$21,$C23:$C24, $C22)/30)</f>
        <v>4.833333333333333</v>
      </c>
      <c r="E28" s="11">
        <f>D28-(SUM($C$4:$C$6,$C$8:$C$9,$C$11:$C$13,$C$15:$C$16,$C$18:$C$19:$C$21,$C23:$C24, $C22)/30)</f>
        <v>4.6666666666666661</v>
      </c>
      <c r="F28" s="11">
        <f>E28-(SUM($C$4:$C$6,$C$8:$C$9,$C$11:$C$13,$C$15:$C$16,$C$18:$C$19:$C$21,$C23:$C24, $C22)/30)</f>
        <v>4.4999999999999991</v>
      </c>
      <c r="G28" s="11">
        <f>F28-(SUM($C$4:$C$6,$C$8:$C$9,$C$11:$C$13,$C$15:$C$16,$C$18:$C$19:$C$21,$C23:$C24, $C22)/30)</f>
        <v>4.3333333333333321</v>
      </c>
      <c r="H28" s="11">
        <f>G28-(SUM($C$4:$C$6,$C$8:$C$9,$C$11:$C$13,$C$15:$C$16,$C$18:$C$19:$C$21,$C23:$C24, $C22)/30)</f>
        <v>4.1666666666666652</v>
      </c>
      <c r="I28" s="11">
        <f>H28-(SUM($C$4:$C$6,$C$8:$C$9,$C$11:$C$13,$C$15:$C$16,$C$18:$C$19:$C$21,$C23:$C24, $C22)/30)</f>
        <v>3.9999999999999987</v>
      </c>
      <c r="J28" s="11">
        <f>I28-(SUM($C$4:$C$6,$C$8:$C$9,$C$11:$C$13,$C$15:$C$16,$C$18:$C$19:$C$21,$C23:$C24, $C22)/30)</f>
        <v>3.8333333333333321</v>
      </c>
      <c r="K28" s="11">
        <f>J28-(SUM($C$4:$C$6,$C$8:$C$9,$C$11:$C$13,$C$15:$C$16,$C$18:$C$19:$C$21,$C23:$C24, $C22)/30)</f>
        <v>3.6666666666666656</v>
      </c>
      <c r="L28" s="11">
        <f>K28-(SUM($C$4:$C$6,$C$8:$C$9,$C$11:$C$13,$C$15:$C$16,$C$18:$C$19:$C$21,$C23:$C24, $C22)/30)</f>
        <v>3.4999999999999991</v>
      </c>
      <c r="M28" s="11">
        <f>L28-(SUM($C$4:$C$6,$C$8:$C$9,$C$11:$C$13,$C$15:$C$16,$C$18:$C$19:$C$21,$C23:$C24, $C22)/30)</f>
        <v>3.3333333333333326</v>
      </c>
      <c r="N28" s="11">
        <f>M28-(SUM($C$4:$C$6,$C$8:$C$9,$C$11:$C$13,$C$15:$C$16,$C$18:$C$19:$C$21,$C23:$C24, $C22)/30)</f>
        <v>3.1666666666666661</v>
      </c>
      <c r="O28" s="11">
        <f>N28-(SUM($C$4:$C$6,$C$8:$C$9,$C$11:$C$13,$C$15:$C$16,$C$18:$C$19:$C$21,$C23:$C24, $C22)/30)</f>
        <v>2.9999999999999996</v>
      </c>
      <c r="P28" s="11">
        <f>O28-(SUM($C$4:$C$6,$C$8:$C$9,$C$11:$C$13,$C$15:$C$16,$C$18:$C$19:$C$21,$C23:$C24, $C22)/30)</f>
        <v>2.833333333333333</v>
      </c>
      <c r="Q28" s="11">
        <f>P28-(SUM($C$4:$C$6,$C$8:$C$9,$C$11:$C$13,$C$15:$C$16,$C$18:$C$19:$C$21,$C23:$C24, $C22)/30)</f>
        <v>2.6666666666666665</v>
      </c>
      <c r="R28" s="11">
        <f>Q28-(SUM($C$4:$C$6,$C$8:$C$9,$C$11:$C$13,$C$15:$C$16,$C$18:$C$19:$C$21,$C23:$C24, $C22)/30)</f>
        <v>2.5</v>
      </c>
      <c r="S28" s="11">
        <f>R28-(SUM($C$4:$C$6,$C$8:$C$9,$C$11:$C$13,$C$15:$C$16,$C$18:$C$19:$C$21,$C23:$C24, $C22)/30)</f>
        <v>2.3333333333333335</v>
      </c>
      <c r="T28" s="11">
        <f>S28-(SUM($C$4:$C$6,$C$8:$C$9,$C$11:$C$13,$C$15:$C$16,$C$18:$C$19:$C$21,$C23:$C24, $C22)/30)</f>
        <v>2.166666666666667</v>
      </c>
      <c r="U28" s="11">
        <f>T28-(SUM($C$4:$C$6,$C$8:$C$9,$C$11:$C$13,$C$15:$C$16,$C$18:$C$19:$C$21,$C23:$C24, $C22)/30)</f>
        <v>2.0000000000000004</v>
      </c>
      <c r="V28" s="11">
        <f>U28-(SUM($C$4:$C$6,$C$8:$C$9,$C$11:$C$13,$C$15:$C$16,$C$18:$C$19:$C$21,$C23:$C24, $C22)/30)</f>
        <v>1.8333333333333337</v>
      </c>
      <c r="W28" s="11">
        <f>V28-(SUM($C$4:$C$6,$C$8:$C$9,$C$11:$C$13,$C$15:$C$16,$C$18:$C$19:$C$21,$C23:$C24, $C22)/30)</f>
        <v>1.666666666666667</v>
      </c>
      <c r="X28" s="11">
        <f>W28-(SUM($C$4:$C$6,$C$8:$C$9,$C$11:$C$13,$C$15:$C$16,$C$18:$C$19:$C$21,$C23:$C24, $C22)/30)</f>
        <v>1.5000000000000002</v>
      </c>
      <c r="Y28" s="11">
        <f>X28-(SUM($C$4:$C$6,$C$8:$C$9,$C$11:$C$13,$C$15:$C$16,$C$18:$C$19:$C$21,$C23:$C24, $C22)/30)</f>
        <v>1.3333333333333335</v>
      </c>
      <c r="Z28" s="11">
        <f>Y28-(SUM($C$4:$C$6,$C$8:$C$9,$C$11:$C$13,$C$15:$C$16,$C$18:$C$19:$C$21,$C23:$C24, $C22)/30)</f>
        <v>1.1666666666666667</v>
      </c>
      <c r="AA28" s="11">
        <f>Z28-(SUM($C$4:$C$6,$C$8:$C$9,$C$11:$C$13,$C$15:$C$16,$C$18:$C$19:$C$21,$C23:$C24, $C22)/30)</f>
        <v>1</v>
      </c>
      <c r="AB28" s="11">
        <f>AA28-(SUM($C$4:$C$6,$C$8:$C$9,$C$11:$C$13,$C$15:$C$16,$C$18:$C$19:$C$21,$C23:$C24, $C22)/30)</f>
        <v>0.83333333333333337</v>
      </c>
      <c r="AC28" s="11">
        <f>AB28-(SUM($C$4:$C$6,$C$8:$C$9,$C$11:$C$13,$C$15:$C$16,$C$18:$C$19:$C$21,$C23:$C24, $C22)/30)</f>
        <v>0.66666666666666674</v>
      </c>
      <c r="AD28" s="11">
        <f>AC28-(SUM($C$4:$C$6,$C$8:$C$9,$C$11:$C$13,$C$15:$C$16,$C$18:$C$19:$C$21,$C23:$C24, $C22)/30)</f>
        <v>0.50000000000000011</v>
      </c>
      <c r="AE28" s="11">
        <f>AD28-(SUM($C$4:$C$6,$C$8:$C$9,$C$11:$C$13,$C$15:$C$16,$C$18:$C$19:$C$21,$C23:$C24, $C22)/30)</f>
        <v>0.33333333333333348</v>
      </c>
      <c r="AF28" s="11">
        <f>AE28-(SUM($C$4:$C$6,$C$8:$C$9,$C$11:$C$13,$C$15:$C$16,$C$18:$C$19:$C$21,$C23:$C24, $C22)/30)</f>
        <v>0.16666666666666682</v>
      </c>
      <c r="AG28" s="11">
        <f>AF28-(SUM($C$4:$C$6,$C$8:$C$9,$C$11:$C$13,$C$15:$C$16,$C$18:$C$19:$C$21,$C23:$C24, $C22)/30)</f>
        <v>0</v>
      </c>
      <c r="AH28" s="4">
        <f t="shared" si="2"/>
        <v>72.5</v>
      </c>
    </row>
    <row r="29" spans="2:34" ht="15.75" customHeight="1" x14ac:dyDescent="0.25"/>
    <row r="30" spans="2:34" ht="15.75" customHeight="1" x14ac:dyDescent="0.25"/>
    <row r="31" spans="2:34" ht="15.75" customHeight="1" x14ac:dyDescent="0.25"/>
    <row r="32" spans="2:34" ht="15.75" customHeight="1" x14ac:dyDescent="0.25">
      <c r="B32" s="9"/>
      <c r="C32" s="2"/>
      <c r="D32" s="2"/>
      <c r="E32" s="2"/>
      <c r="F32" s="2"/>
      <c r="G32" s="2"/>
      <c r="H32" s="2"/>
    </row>
    <row r="33" spans="2:8" ht="15.75" customHeight="1" x14ac:dyDescent="0.25"/>
    <row r="34" spans="2:8" ht="15.75" customHeight="1" x14ac:dyDescent="0.25">
      <c r="B34" s="9"/>
      <c r="C34" s="2"/>
      <c r="D34" s="2"/>
      <c r="E34" s="2"/>
      <c r="F34" s="2"/>
      <c r="G34" s="2"/>
      <c r="H34" s="2"/>
    </row>
    <row r="35" spans="2:8" ht="15.75" customHeight="1" x14ac:dyDescent="0.25">
      <c r="B35" s="9"/>
      <c r="C35" s="2"/>
      <c r="D35" s="2"/>
      <c r="E35" s="2"/>
      <c r="F35" s="2"/>
      <c r="G35" s="2"/>
      <c r="H35" s="2"/>
    </row>
    <row r="36" spans="2:8" ht="15.75" customHeight="1" x14ac:dyDescent="0.25"/>
    <row r="37" spans="2:8" ht="15.75" customHeight="1" x14ac:dyDescent="0.25">
      <c r="B37" s="13"/>
      <c r="C37" s="13"/>
      <c r="D37" s="13"/>
      <c r="E37" s="13"/>
      <c r="F37" s="13"/>
      <c r="G37" s="13"/>
    </row>
    <row r="38" spans="2:8" ht="15.75" customHeight="1" x14ac:dyDescent="0.25">
      <c r="B38" s="13"/>
      <c r="C38" s="13"/>
      <c r="D38" s="13"/>
      <c r="E38" s="13"/>
      <c r="F38" s="13"/>
      <c r="G38" s="13"/>
    </row>
    <row r="39" spans="2:8" ht="15.75" customHeight="1" x14ac:dyDescent="0.25">
      <c r="B39" s="13"/>
      <c r="C39" s="13"/>
      <c r="D39" s="13"/>
      <c r="E39" s="13"/>
      <c r="F39" s="13"/>
      <c r="G39" s="13"/>
    </row>
    <row r="40" spans="2:8" ht="15.75" customHeight="1" x14ac:dyDescent="0.25">
      <c r="B40" s="13"/>
      <c r="C40" s="13"/>
      <c r="D40" s="13"/>
      <c r="E40" s="13"/>
      <c r="F40" s="13"/>
      <c r="G40" s="13"/>
    </row>
    <row r="41" spans="2:8" ht="15.75" customHeight="1" x14ac:dyDescent="0.25">
      <c r="B41" s="13"/>
      <c r="C41" s="13"/>
      <c r="D41" s="13"/>
      <c r="E41" s="13"/>
      <c r="F41" s="13"/>
      <c r="G41" s="13"/>
    </row>
    <row r="42" spans="2:8" ht="15.75" customHeight="1" x14ac:dyDescent="0.25">
      <c r="B42" s="13"/>
      <c r="C42" s="13"/>
      <c r="D42" s="13"/>
      <c r="E42" s="13"/>
      <c r="F42" s="13"/>
      <c r="G42" s="13"/>
    </row>
    <row r="43" spans="2:8" ht="15.75" customHeight="1" x14ac:dyDescent="0.25">
      <c r="B43" s="13"/>
      <c r="C43" s="13"/>
      <c r="D43" s="13"/>
      <c r="E43" s="13"/>
      <c r="F43" s="13"/>
      <c r="G43" s="13"/>
    </row>
    <row r="44" spans="2:8" ht="15.75" customHeight="1" x14ac:dyDescent="0.25">
      <c r="B44" s="13"/>
      <c r="C44" s="13"/>
      <c r="D44" s="13"/>
      <c r="E44" s="13"/>
      <c r="F44" s="13"/>
      <c r="G44" s="13"/>
    </row>
    <row r="45" spans="2:8" ht="15.75" customHeight="1" x14ac:dyDescent="0.25"/>
    <row r="46" spans="2:8" ht="15.75" customHeight="1" x14ac:dyDescent="0.25"/>
    <row r="47" spans="2:8" ht="15.75" customHeight="1" x14ac:dyDescent="0.25"/>
    <row r="48" spans="2: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</sheetData>
  <phoneticPr fontId="4" type="noConversion"/>
  <pageMargins left="0.7" right="0.7" top="0.75" bottom="0.75" header="0" footer="0"/>
  <pageSetup orientation="landscape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SPRINT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JHON KEVIN CASTILLO QUISHPE</cp:lastModifiedBy>
  <dcterms:created xsi:type="dcterms:W3CDTF">2023-06-05T13:12:31Z</dcterms:created>
  <dcterms:modified xsi:type="dcterms:W3CDTF">2026-01-07T01:13:53Z</dcterms:modified>
</cp:coreProperties>
</file>