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rist\Documents\"/>
    </mc:Choice>
  </mc:AlternateContent>
  <xr:revisionPtr revIDLastSave="0" documentId="13_ncr:1_{036C7C97-ACBE-4141-926B-3DBADAF14BA8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BACKLOG" sheetId="1" r:id="rId1"/>
    <sheet name="SPRINT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23" i="3" l="1"/>
  <c r="AH24" i="3"/>
  <c r="AH26" i="3"/>
  <c r="C29" i="3"/>
  <c r="C28" i="3"/>
  <c r="D29" i="3" l="1"/>
  <c r="D28" i="3"/>
  <c r="E28" i="3" l="1"/>
  <c r="F28" i="3" s="1"/>
  <c r="G28" i="3" s="1"/>
  <c r="H28" i="3" s="1"/>
  <c r="I28" i="3" s="1"/>
  <c r="J28" i="3" s="1"/>
  <c r="K28" i="3" s="1"/>
  <c r="L28" i="3" s="1"/>
  <c r="M28" i="3" s="1"/>
  <c r="N28" i="3" s="1"/>
  <c r="O28" i="3" s="1"/>
  <c r="P28" i="3" s="1"/>
  <c r="Q28" i="3" s="1"/>
  <c r="R28" i="3" s="1"/>
  <c r="S28" i="3" s="1"/>
  <c r="T28" i="3" s="1"/>
  <c r="U28" i="3" s="1"/>
  <c r="V28" i="3" s="1"/>
  <c r="W28" i="3" s="1"/>
  <c r="X28" i="3" s="1"/>
  <c r="Y28" i="3" s="1"/>
  <c r="Z28" i="3" s="1"/>
  <c r="AA28" i="3" s="1"/>
  <c r="AB28" i="3" s="1"/>
  <c r="AC28" i="3" s="1"/>
  <c r="AD28" i="3" s="1"/>
  <c r="AE28" i="3" s="1"/>
  <c r="AF28" i="3" s="1"/>
  <c r="AG28" i="3" s="1"/>
  <c r="E29" i="3"/>
  <c r="F29" i="3" s="1"/>
  <c r="G29" i="3" s="1"/>
  <c r="H29" i="3" s="1"/>
  <c r="I29" i="3" s="1"/>
  <c r="J29" i="3" s="1"/>
  <c r="K29" i="3" s="1"/>
  <c r="L29" i="3" s="1"/>
  <c r="M29" i="3" s="1"/>
  <c r="N29" i="3" s="1"/>
  <c r="O29" i="3" s="1"/>
  <c r="P29" i="3" s="1"/>
  <c r="Q29" i="3" s="1"/>
  <c r="R29" i="3" s="1"/>
  <c r="S29" i="3" s="1"/>
  <c r="T29" i="3" s="1"/>
  <c r="U29" i="3" s="1"/>
  <c r="V29" i="3" s="1"/>
  <c r="W29" i="3" s="1"/>
  <c r="X29" i="3" s="1"/>
  <c r="Y29" i="3" s="1"/>
  <c r="Z29" i="3" s="1"/>
  <c r="AA29" i="3" s="1"/>
  <c r="AB29" i="3" s="1"/>
  <c r="AC29" i="3" s="1"/>
  <c r="AD29" i="3" s="1"/>
  <c r="AE29" i="3" s="1"/>
  <c r="AF29" i="3" s="1"/>
  <c r="AG29" i="3" s="1"/>
  <c r="AH4" i="3"/>
  <c r="AH21" i="3"/>
  <c r="AH19" i="3"/>
  <c r="AH18" i="3"/>
  <c r="AH28" i="3" l="1"/>
  <c r="AH29" i="3"/>
  <c r="AH16" i="3"/>
  <c r="AH15" i="3"/>
  <c r="AH13" i="3"/>
  <c r="AH12" i="3"/>
  <c r="AH11" i="3"/>
  <c r="AH9" i="3"/>
  <c r="AH8" i="3"/>
  <c r="AH5" i="3" l="1"/>
  <c r="AH6" i="3"/>
</calcChain>
</file>

<file path=xl/sharedStrings.xml><?xml version="1.0" encoding="utf-8"?>
<sst xmlns="http://schemas.openxmlformats.org/spreadsheetml/2006/main" count="104" uniqueCount="87">
  <si>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</si>
  <si>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</si>
  <si>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</si>
  <si>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</si>
  <si>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</si>
  <si>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</si>
  <si>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</si>
  <si>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</si>
  <si>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</si>
  <si>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Ingresar al sistema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</si>
  <si>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</si>
  <si>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</si>
  <si>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</si>
  <si>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</si>
  <si>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</si>
  <si>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</si>
  <si>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</si>
  <si>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</si>
  <si>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</si>
  <si>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</si>
  <si>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REQ001-2</t>
  </si>
  <si>
    <t>REQ001-3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</si>
  <si>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</si>
  <si>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</si>
  <si>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</si>
  <si>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</si>
  <si>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</si>
  <si>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</si>
  <si>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</si>
  <si>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</si>
  <si>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REQ002-1</t>
  </si>
  <si>
    <t>REQ002-2</t>
  </si>
  <si>
    <t>REQ003-1</t>
  </si>
  <si>
    <t>REQ003-2</t>
  </si>
  <si>
    <t>REQ003-3</t>
  </si>
  <si>
    <t>REQ006-1</t>
  </si>
  <si>
    <t>Administrador</t>
  </si>
  <si>
    <t>REQ004-1</t>
  </si>
  <si>
    <t>REQ004-2</t>
  </si>
  <si>
    <t>REQ005-1</t>
  </si>
  <si>
    <t>REQ005-2</t>
  </si>
  <si>
    <t>SPRINT 1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</si>
  <si>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</si>
  <si>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</si>
  <si>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</si>
  <si>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</si>
  <si>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</si>
  <si>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</si>
  <si>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</si>
  <si>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</si>
  <si>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</si>
  <si>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</si>
  <si>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</si>
  <si>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Día17</t>
  </si>
  <si>
    <t>Día 18</t>
  </si>
  <si>
    <t>Día 19</t>
  </si>
  <si>
    <t>REQ007-1</t>
  </si>
  <si>
    <t>REQ008-1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</si>
  <si>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</si>
  <si>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</si>
  <si>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</si>
  <si>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</si>
  <si>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</si>
  <si>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</si>
  <si>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</si>
  <si>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</si>
  <si>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</si>
  <si>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</si>
  <si>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</si>
  <si>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REQ007-2</t>
  </si>
  <si>
    <t>Autenticación y Roles</t>
  </si>
  <si>
    <t>Garantizar que solo usuarios autorizados realicen acciones según su rol.</t>
  </si>
  <si>
    <t>En proceso</t>
  </si>
  <si>
    <t>Diseñar la colección en MongoDB para usuarios y roles (campos: nombre, contraseña, rol).</t>
  </si>
  <si>
    <t>Conectar la aplicación Java con MongoDB</t>
  </si>
  <si>
    <t>Crear clases en Java para Usuario y Rol con sus atributos.</t>
  </si>
  <si>
    <t>REQ001-4</t>
  </si>
  <si>
    <t>REQ001-5</t>
  </si>
  <si>
    <t>Implementar el inicio de sesión (validar usuario y contraseña).</t>
  </si>
  <si>
    <t>Configurar roles y permisos (Administrador, Mesero, Cajero) para controlar el acceso.</t>
  </si>
  <si>
    <t>Ismael Silva</t>
  </si>
  <si>
    <t>Kevin Castillo</t>
  </si>
  <si>
    <t>Cristian Becerra</t>
  </si>
  <si>
    <t>3 hrs</t>
  </si>
  <si>
    <t>30  min</t>
  </si>
  <si>
    <t>4 hrs</t>
  </si>
  <si>
    <t>4hrs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</si>
</sst>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  <scheme val="minor"/>
    </font>
    <font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</font>
    <font>
      <sz val="8"/>
      <name val="Arial"/>
      <scheme val="minor"/>
    </font>
    <font>
      <sz val="11"/>
      <color theme="1"/>
      <name val="Arial"/>
    </font>
    <font>
      <sz val="10"/>
      <color rgb="FF0070C0"/>
      <name val="Arial"/>
      <family val="2"/>
    </font>
    <font>
      <sz val="10"/>
      <color rgb="FF0070C0"/>
      <name val="Arial"/>
      <family val="2"/>
      <scheme val="minor"/>
    </font>
    <font>
      <b/>
      <sz val="10"/>
      <color theme="4" tint="-0.249977111117893"/>
      <name val="Arial"/>
      <family val="2"/>
      <scheme val="minor"/>
    </font>
    <font>
      <sz val="10"/>
      <color theme="8" tint="-0.249977111117893"/>
      <name val="Arial"/>
      <family val="2"/>
    </font>
    <font>
      <sz val="10"/>
      <color theme="8" tint="-0.249977111117893"/>
      <name val="Arial"/>
      <family val="2"/>
      <scheme val="minor"/>
    </font>
    <font>
      <b/>
      <sz val="10"/>
      <color theme="8" tint="-0.249977111117893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1" fillId="0" borderId="1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  <xf numFmtId="0" fontId="12" fillId="0" borderId="0" xfId="0" applyFont="1"/>
    <xf numFmtId="0" fontId="12" fillId="0" borderId="0" xfId="0" applyFont="1" applyAlignment="1"/>
    <xf numFmtId="0" fontId="13" fillId="0" borderId="0" xfId="0" applyFont="1"/>
    <xf numFmtId="0" fontId="3" fillId="0" borderId="1" xfId="0" applyFont="1" applyFill="1" applyBorder="1"/>
    <xf numFmtId="0" fontId="3" fillId="0" borderId="0" xfId="0" applyFont="1" applyFill="1"/>
    <xf numFmtId="0" fontId="0" fillId="0" borderId="0" xfId="0" applyFill="1"/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0" xfId="0" applyFont="1"/>
    <xf numFmtId="0" fontId="15" fillId="0" borderId="0" xfId="0" applyFont="1" applyAlignment="1">
      <alignment horizontal="left" vertical="center"/>
    </xf>
    <xf numFmtId="164" fontId="3" fillId="0" borderId="0" xfId="0" applyNumberFormat="1" applyFont="1"/>
    <xf numFmtId="0" fontId="3" fillId="0" borderId="1" xfId="0" applyFont="1" applyFill="1" applyBorder="1" applyAlignment="1">
      <alignment horizontal="right"/>
    </xf>
    <xf numFmtId="0" fontId="8" fillId="0" borderId="0" xfId="0" applyFont="1" applyAlignment="1">
      <alignment vertical="center" wrapText="1"/>
    </xf>
    <xf numFmtId="0" fontId="7" fillId="0" borderId="0" xfId="0" applyFont="1"/>
    <xf numFmtId="0" fontId="3" fillId="5" borderId="0" xfId="0" applyFont="1" applyFill="1"/>
    <xf numFmtId="0" fontId="14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12" fillId="6" borderId="0" xfId="0" applyFont="1" applyFill="1"/>
    <xf numFmtId="0" fontId="12" fillId="6" borderId="0" xfId="0" applyFont="1" applyFill="1" applyAlignment="1"/>
    <xf numFmtId="0" fontId="13" fillId="6" borderId="0" xfId="0" applyFont="1" applyFill="1"/>
  </cellXfs>
  <cellStyles count="2">
    <cellStyle name="Normal" xfId="0" builtinId="0"/>
    <cellStyle name="Normal 2" xfId="1" xr:uid="{00000000-0005-0000-0000-000001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REQUERIMIENTOS</a:t>
            </a:r>
          </a:p>
        </c:rich>
      </c:tx>
      <c:layout>
        <c:manualLayout>
          <c:xMode val="edge"/>
          <c:yMode val="edge"/>
          <c:x val="0.7622919097729608"/>
          <c:y val="4.2208406499714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4.1558171346424047E-2"/>
          <c:y val="1.6421018225114249E-2"/>
          <c:w val="0.93191790278551634"/>
          <c:h val="0.7618268406058164"/>
        </c:manualLayout>
      </c:layout>
      <c:lineChart>
        <c:grouping val="standard"/>
        <c:varyColors val="0"/>
        <c:ser>
          <c:idx val="0"/>
          <c:order val="0"/>
          <c:tx>
            <c:strRef>
              <c:f>BURDONCHART!$B$28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BURDONCHART!$C$28:$AG$28</c:f>
              <c:numCache>
                <c:formatCode>General</c:formatCode>
                <c:ptCount val="31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61</c:v>
                </c:pt>
                <c:pt idx="7">
                  <c:v>57</c:v>
                </c:pt>
                <c:pt idx="8">
                  <c:v>53</c:v>
                </c:pt>
                <c:pt idx="9">
                  <c:v>49</c:v>
                </c:pt>
                <c:pt idx="10">
                  <c:v>45</c:v>
                </c:pt>
                <c:pt idx="11">
                  <c:v>41</c:v>
                </c:pt>
                <c:pt idx="12">
                  <c:v>40</c:v>
                </c:pt>
                <c:pt idx="13">
                  <c:v>39</c:v>
                </c:pt>
                <c:pt idx="14">
                  <c:v>38</c:v>
                </c:pt>
                <c:pt idx="15">
                  <c:v>35</c:v>
                </c:pt>
                <c:pt idx="16">
                  <c:v>33</c:v>
                </c:pt>
                <c:pt idx="17">
                  <c:v>32</c:v>
                </c:pt>
                <c:pt idx="18">
                  <c:v>31</c:v>
                </c:pt>
                <c:pt idx="19">
                  <c:v>28</c:v>
                </c:pt>
                <c:pt idx="20">
                  <c:v>27</c:v>
                </c:pt>
                <c:pt idx="21">
                  <c:v>22</c:v>
                </c:pt>
                <c:pt idx="22">
                  <c:v>19</c:v>
                </c:pt>
                <c:pt idx="23">
                  <c:v>16</c:v>
                </c:pt>
                <c:pt idx="24">
                  <c:v>12</c:v>
                </c:pt>
                <c:pt idx="25">
                  <c:v>10</c:v>
                </c:pt>
                <c:pt idx="26">
                  <c:v>3</c:v>
                </c:pt>
                <c:pt idx="27">
                  <c:v>-3</c:v>
                </c:pt>
                <c:pt idx="28">
                  <c:v>-8</c:v>
                </c:pt>
                <c:pt idx="29">
                  <c:v>-13</c:v>
                </c:pt>
                <c:pt idx="30">
                  <c:v>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3C-406F-9815-2B3C88F5CEB6}"/>
            </c:ext>
          </c:extLst>
        </c:ser>
        <c:ser>
          <c:idx val="1"/>
          <c:order val="1"/>
          <c:tx>
            <c:strRef>
              <c:f>BURDONCHART!$B$29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BURDONCHART!$C$29:$AG$29</c:f>
              <c:numCache>
                <c:formatCode>0.0</c:formatCode>
                <c:ptCount val="31"/>
                <c:pt idx="0" formatCode="General">
                  <c:v>65</c:v>
                </c:pt>
                <c:pt idx="1">
                  <c:v>62.833333333333336</c:v>
                </c:pt>
                <c:pt idx="2">
                  <c:v>60.666666666666671</c:v>
                </c:pt>
                <c:pt idx="3">
                  <c:v>58.500000000000007</c:v>
                </c:pt>
                <c:pt idx="4">
                  <c:v>56.333333333333343</c:v>
                </c:pt>
                <c:pt idx="5">
                  <c:v>54.166666666666679</c:v>
                </c:pt>
                <c:pt idx="6">
                  <c:v>52.000000000000014</c:v>
                </c:pt>
                <c:pt idx="7">
                  <c:v>49.83333333333335</c:v>
                </c:pt>
                <c:pt idx="8">
                  <c:v>47.666666666666686</c:v>
                </c:pt>
                <c:pt idx="9">
                  <c:v>45.500000000000021</c:v>
                </c:pt>
                <c:pt idx="10">
                  <c:v>43.333333333333357</c:v>
                </c:pt>
                <c:pt idx="11">
                  <c:v>41.166666666666693</c:v>
                </c:pt>
                <c:pt idx="12">
                  <c:v>39.000000000000028</c:v>
                </c:pt>
                <c:pt idx="13">
                  <c:v>36.833333333333364</c:v>
                </c:pt>
                <c:pt idx="14">
                  <c:v>34.6666666666667</c:v>
                </c:pt>
                <c:pt idx="15">
                  <c:v>32.500000000000036</c:v>
                </c:pt>
                <c:pt idx="16">
                  <c:v>30.333333333333368</c:v>
                </c:pt>
                <c:pt idx="17">
                  <c:v>28.1666666666667</c:v>
                </c:pt>
                <c:pt idx="18">
                  <c:v>26.000000000000032</c:v>
                </c:pt>
                <c:pt idx="19">
                  <c:v>23.833333333333364</c:v>
                </c:pt>
                <c:pt idx="20">
                  <c:v>21.666666666666696</c:v>
                </c:pt>
                <c:pt idx="21">
                  <c:v>19.500000000000028</c:v>
                </c:pt>
                <c:pt idx="22">
                  <c:v>17.333333333333361</c:v>
                </c:pt>
                <c:pt idx="23">
                  <c:v>15.166666666666694</c:v>
                </c:pt>
                <c:pt idx="24">
                  <c:v>13.000000000000028</c:v>
                </c:pt>
                <c:pt idx="25">
                  <c:v>10.833333333333362</c:v>
                </c:pt>
                <c:pt idx="26">
                  <c:v>8.6666666666666963</c:v>
                </c:pt>
                <c:pt idx="27">
                  <c:v>6.5000000000000302</c:v>
                </c:pt>
                <c:pt idx="28">
                  <c:v>4.3333333333333641</c:v>
                </c:pt>
                <c:pt idx="29">
                  <c:v>2.1666666666666976</c:v>
                </c:pt>
                <c:pt idx="30">
                  <c:v>3.1086244689504383E-14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3C-406F-9815-2B3C88F5C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537856"/>
        <c:axId val="630532032"/>
      </c:lineChart>
      <c:catAx>
        <c:axId val="6305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0532032"/>
        <c:crosses val="autoZero"/>
        <c:auto val="1"/>
        <c:lblAlgn val="ctr"/>
        <c:lblOffset val="100"/>
        <c:noMultiLvlLbl val="0"/>
      </c:catAx>
      <c:valAx>
        <c:axId val="63053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05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246557</xdr:colOff>
      <xdr:row>31</xdr:row>
      <xdr:rowOff>26444</xdr:rowOff>
    </xdr:from>
    <xdr:to>
      <xdr:col>16</xdr:col>
      <xdr:colOff>732081</xdr:colOff>
      <xdr:row>51</xdr:row>
      <xdr:rowOff>187169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D21E846-E4C5-47A2-9619-8767DF0BF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H4:AH6" headerRowCount="0" totalsRowShown="0">
  <tableColumns count="1">
    <tableColumn id="1" xr3:uid="{00000000-0010-0000-0000-000001000000}" name="Column1" totalsRowDxfId="1">
      <calculatedColumnFormula>SUM(D4:AG4)</calculatedColumn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3" displayName="Table_13" ref="AH8:AH10" headerRowCount="0" totalsRowShown="0">
  <tableColumns count="1">
    <tableColumn id="1" xr3:uid="{00000000-0010-0000-0100-000001000000}" name="Column1" totalsRowDxfId="0">
      <calculatedColumnFormula>SUM(D8:AG8)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zoomScale="71" zoomScaleNormal="85" workbookViewId="0">
      <selection activeCell="C34" sqref="C34"/>
    </sheetView>
  </sheetViews>
  <sheetFormatPr baseColWidth="10" defaultColWidth="12.5546875" defaultRowHeight="15" customHeight="1" x14ac:dyDescent="0.25"/>
  <cols>
    <col min="1" max="1" width="12.44140625" customWidth="1"/>
    <col min="2" max="2" width="39.6640625" bestFit="1" customWidth="1"/>
    <col min="3" max="3" width="36" customWidth="1"/>
    <col min="4" max="4" width="37.6640625" bestFit="1" customWidth="1"/>
    <col min="5" max="5" width="66" bestFit="1" customWidth="1"/>
    <col min="6" max="26" width="12.44140625" customWidth="1"/>
  </cols>
  <sheetData>
    <row r="1" spans="1:8" s="9" customFormat="1" ht="15.75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s="11" customFormat="1" ht="15.75" customHeight="1" x14ac:dyDescent="0.25">
      <c r="A2" s="30" t="s">
        <v>41</v>
      </c>
      <c r="B2" s="30"/>
      <c r="C2" s="30"/>
      <c r="D2" s="30"/>
      <c r="E2" s="30"/>
      <c r="F2" s="30"/>
      <c r="G2" s="30"/>
      <c r="H2" s="30"/>
    </row>
    <row r="3" spans="1:8" ht="15.75" customHeight="1" x14ac:dyDescent="0.25">
      <c r="A3" s="15" t="s">
        <v>8</v>
      </c>
      <c r="B3" s="15" t="s">
        <v>70</v>
      </c>
      <c r="C3" s="15" t="s">
        <v>36</v>
      </c>
      <c r="D3" s="16" t="s">
        <v>9</v>
      </c>
      <c r="E3" s="15" t="s">
        <v>71</v>
      </c>
      <c r="F3" s="17"/>
      <c r="G3" s="15" t="s">
        <v>10</v>
      </c>
      <c r="H3" s="15" t="s">
        <v>72</v>
      </c>
    </row>
    <row r="4" spans="1:8" ht="15.75" customHeight="1" x14ac:dyDescent="0.25">
      <c r="A4" s="15"/>
      <c r="B4" s="15"/>
      <c r="C4" s="15"/>
      <c r="D4" s="16"/>
      <c r="E4" s="15"/>
      <c r="F4" s="15"/>
      <c r="G4" s="15"/>
      <c r="H4" s="15"/>
    </row>
    <row r="5" spans="1:8" ht="15.75" customHeight="1" x14ac:dyDescent="0.25">
      <c r="A5" s="15"/>
      <c r="B5" s="15"/>
      <c r="C5" s="15"/>
      <c r="D5" s="16"/>
      <c r="E5" s="15"/>
      <c r="F5" s="17"/>
      <c r="G5" s="15"/>
      <c r="H5" s="15"/>
    </row>
    <row r="6" spans="1:8" s="23" customFormat="1" ht="13.95" customHeight="1" x14ac:dyDescent="0.25">
      <c r="A6" s="15"/>
      <c r="B6" s="15"/>
      <c r="C6" s="15"/>
      <c r="D6" s="16"/>
      <c r="E6" s="15"/>
      <c r="F6" s="17"/>
      <c r="G6" s="15"/>
      <c r="H6" s="15"/>
    </row>
    <row r="7" spans="1:8" ht="15.75" customHeight="1" x14ac:dyDescent="0.25">
      <c r="A7" s="31"/>
      <c r="B7" s="31"/>
      <c r="C7" s="31"/>
      <c r="D7" s="31"/>
      <c r="E7" s="31"/>
      <c r="F7" s="31"/>
      <c r="G7" s="31"/>
      <c r="H7" s="31"/>
    </row>
    <row r="8" spans="1:8" ht="13.2" x14ac:dyDescent="0.25">
      <c r="A8" s="21"/>
      <c r="B8" s="21"/>
      <c r="C8" s="21"/>
      <c r="D8" s="24"/>
      <c r="E8" s="22"/>
      <c r="F8" s="23"/>
      <c r="G8" s="21"/>
      <c r="H8" s="21"/>
    </row>
    <row r="9" spans="1:8" ht="15.75" customHeight="1" x14ac:dyDescent="0.25">
      <c r="A9" s="15"/>
      <c r="B9" s="21"/>
      <c r="C9" s="21"/>
      <c r="D9" s="21"/>
      <c r="E9" s="21"/>
      <c r="F9" s="23"/>
      <c r="G9" s="21"/>
      <c r="H9" s="21"/>
    </row>
    <row r="10" spans="1:8" ht="15.75" customHeight="1" x14ac:dyDescent="0.25">
      <c r="A10" s="31"/>
      <c r="B10" s="31"/>
      <c r="C10" s="31"/>
      <c r="D10" s="31"/>
      <c r="E10" s="31"/>
      <c r="F10" s="31"/>
      <c r="G10" s="31"/>
      <c r="H10" s="31"/>
    </row>
    <row r="11" spans="1:8" ht="15.75" customHeight="1" x14ac:dyDescent="0.25">
      <c r="A11" s="21"/>
      <c r="B11" s="21"/>
      <c r="C11" s="21"/>
      <c r="D11" s="24"/>
      <c r="E11" s="22"/>
      <c r="F11" s="23"/>
      <c r="G11" s="21"/>
      <c r="H11" s="21"/>
    </row>
    <row r="12" spans="1:8" ht="15.75" customHeight="1" x14ac:dyDescent="0.25">
      <c r="A12" s="15"/>
      <c r="B12" s="21"/>
      <c r="C12" s="21"/>
      <c r="D12" s="21"/>
      <c r="E12" s="21"/>
      <c r="F12" s="23"/>
      <c r="G12" s="21"/>
      <c r="H12" s="21"/>
    </row>
    <row r="13" spans="1:8" ht="15.75" customHeight="1" x14ac:dyDescent="0.25"/>
    <row r="14" spans="1:8" ht="15.75" customHeight="1" x14ac:dyDescent="0.25"/>
    <row r="15" spans="1:8" ht="15.75" customHeight="1" x14ac:dyDescent="0.25"/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2:H2"/>
    <mergeCell ref="A7:H7"/>
    <mergeCell ref="A10:H10"/>
  </mergeCells>
  <phoneticPr fontId="10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939"/>
  <sheetViews>
    <sheetView tabSelected="1" zoomScale="85" zoomScaleNormal="85" workbookViewId="0">
      <selection activeCell="B11" sqref="B11"/>
    </sheetView>
  </sheetViews>
  <sheetFormatPr baseColWidth="10" defaultColWidth="12.5546875" defaultRowHeight="15" customHeight="1" x14ac:dyDescent="0.25"/>
  <cols>
    <col min="1" max="2" width="12.44140625" customWidth="1"/>
    <col min="3" max="3" width="31.33203125" customWidth="1"/>
    <col min="4" max="4" width="18.6640625" customWidth="1"/>
    <col min="5" max="5" width="37.6640625" bestFit="1" customWidth="1"/>
    <col min="6" max="6" width="56.33203125" customWidth="1"/>
    <col min="7" max="7" width="13.77734375" customWidth="1"/>
    <col min="8" max="26" width="12.44140625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1" t="s">
        <v>11</v>
      </c>
      <c r="C3" s="1" t="s">
        <v>1</v>
      </c>
      <c r="D3" s="1" t="s">
        <v>2</v>
      </c>
      <c r="E3" s="1" t="s">
        <v>12</v>
      </c>
      <c r="F3" s="1" t="s">
        <v>13</v>
      </c>
      <c r="G3" s="1" t="s">
        <v>5</v>
      </c>
      <c r="H3" s="1" t="s">
        <v>14</v>
      </c>
      <c r="I3" s="1" t="s">
        <v>15</v>
      </c>
    </row>
    <row r="4" spans="2:9" s="11" customFormat="1" ht="15.75" customHeight="1" x14ac:dyDescent="0.25">
      <c r="B4" s="34" t="s">
        <v>8</v>
      </c>
      <c r="C4" s="34" t="s">
        <v>70</v>
      </c>
      <c r="D4" s="34" t="s">
        <v>36</v>
      </c>
      <c r="E4" s="35" t="s">
        <v>9</v>
      </c>
      <c r="F4" s="34" t="s">
        <v>71</v>
      </c>
      <c r="G4" s="36"/>
      <c r="H4" s="34" t="s">
        <v>10</v>
      </c>
      <c r="I4" s="34" t="s">
        <v>72</v>
      </c>
    </row>
    <row r="5" spans="2:9" s="11" customFormat="1" ht="15.75" customHeight="1" x14ac:dyDescent="0.25">
      <c r="B5" s="10"/>
      <c r="C5" s="12" t="s">
        <v>16</v>
      </c>
      <c r="D5" s="10"/>
      <c r="E5" s="10"/>
      <c r="F5" s="10"/>
      <c r="G5" s="12" t="s">
        <v>17</v>
      </c>
      <c r="H5" s="10"/>
      <c r="I5" s="12" t="s">
        <v>18</v>
      </c>
    </row>
    <row r="6" spans="2:9" s="11" customFormat="1" ht="15.75" customHeight="1" x14ac:dyDescent="0.25">
      <c r="B6" s="28" t="s">
        <v>19</v>
      </c>
      <c r="C6" s="32" t="s">
        <v>73</v>
      </c>
      <c r="D6" s="33"/>
      <c r="E6" s="33"/>
      <c r="F6" s="33"/>
      <c r="G6" s="10" t="s">
        <v>80</v>
      </c>
      <c r="H6" s="10"/>
      <c r="I6" s="14" t="s">
        <v>83</v>
      </c>
    </row>
    <row r="7" spans="2:9" s="11" customFormat="1" ht="15.75" customHeight="1" x14ac:dyDescent="0.25">
      <c r="B7" s="10" t="s">
        <v>20</v>
      </c>
      <c r="C7" s="32" t="s">
        <v>74</v>
      </c>
      <c r="D7" s="33"/>
      <c r="E7" s="33"/>
      <c r="F7" s="33"/>
      <c r="G7" s="13" t="s">
        <v>81</v>
      </c>
      <c r="H7" s="10"/>
      <c r="I7" s="14" t="s">
        <v>84</v>
      </c>
    </row>
    <row r="8" spans="2:9" s="11" customFormat="1" ht="15.75" customHeight="1" x14ac:dyDescent="0.25">
      <c r="B8" s="10" t="s">
        <v>21</v>
      </c>
      <c r="C8" s="32" t="s">
        <v>75</v>
      </c>
      <c r="D8" s="33"/>
      <c r="E8" s="33"/>
      <c r="F8" s="33"/>
      <c r="G8" s="13" t="s">
        <v>82</v>
      </c>
      <c r="H8" s="10"/>
      <c r="I8" s="14" t="s">
        <v>83</v>
      </c>
    </row>
    <row r="9" spans="2:9" ht="15.75" customHeight="1" x14ac:dyDescent="0.25">
      <c r="B9" s="28" t="s">
        <v>76</v>
      </c>
      <c r="C9" s="32" t="s">
        <v>78</v>
      </c>
      <c r="D9" s="33"/>
      <c r="E9" s="33"/>
      <c r="F9" s="33"/>
      <c r="G9" s="28" t="s">
        <v>80</v>
      </c>
      <c r="H9" s="1"/>
      <c r="I9" s="14" t="s">
        <v>85</v>
      </c>
    </row>
    <row r="10" spans="2:9" ht="15.75" customHeight="1" x14ac:dyDescent="0.25">
      <c r="B10" s="28" t="s">
        <v>77</v>
      </c>
      <c r="C10" s="32" t="s">
        <v>79</v>
      </c>
      <c r="D10" s="33"/>
      <c r="E10" s="33"/>
      <c r="F10" s="33"/>
      <c r="G10" s="28" t="s">
        <v>81</v>
      </c>
      <c r="I10" s="14" t="s">
        <v>86</v>
      </c>
    </row>
    <row r="11" spans="2:9" ht="15.75" customHeight="1" x14ac:dyDescent="0.25">
      <c r="B11" s="28"/>
      <c r="C11" s="32"/>
      <c r="D11" s="33"/>
      <c r="E11" s="33"/>
      <c r="F11" s="33"/>
      <c r="G11" s="28"/>
      <c r="I11" s="28"/>
    </row>
    <row r="12" spans="2:9" ht="15.75" customHeight="1" x14ac:dyDescent="0.25"/>
    <row r="13" spans="2:9" ht="15.75" customHeight="1" x14ac:dyDescent="0.25"/>
    <row r="14" spans="2:9" ht="15.75" customHeight="1" x14ac:dyDescent="0.25"/>
    <row r="15" spans="2:9" ht="15.75" customHeight="1" x14ac:dyDescent="0.25"/>
    <row r="16" spans="2:9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</sheetData>
  <mergeCells count="6">
    <mergeCell ref="C11:F11"/>
    <mergeCell ref="C6:F6"/>
    <mergeCell ref="C7:F7"/>
    <mergeCell ref="C8:F8"/>
    <mergeCell ref="C9:F9"/>
    <mergeCell ref="C10:F10"/>
  </mergeCells>
  <phoneticPr fontId="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H986"/>
  <sheetViews>
    <sheetView zoomScale="76" zoomScaleNormal="100" workbookViewId="0">
      <selection activeCell="AA3" sqref="AA3:AG3"/>
    </sheetView>
  </sheetViews>
  <sheetFormatPr baseColWidth="10" defaultColWidth="12.5546875" defaultRowHeight="15" customHeight="1" x14ac:dyDescent="0.25"/>
  <cols>
    <col min="1" max="1" width="12.44140625" customWidth="1"/>
    <col min="2" max="2" width="24.5546875" customWidth="1"/>
    <col min="3" max="26" width="12.44140625" customWidth="1"/>
  </cols>
  <sheetData>
    <row r="1" spans="1:34" ht="15.75" customHeight="1" x14ac:dyDescent="0.25"/>
    <row r="2" spans="1:34" ht="15.75" customHeight="1" x14ac:dyDescent="0.25"/>
    <row r="3" spans="1:34" ht="15.75" customHeight="1" x14ac:dyDescent="0.25">
      <c r="B3" s="3"/>
      <c r="C3" s="3" t="s">
        <v>18</v>
      </c>
      <c r="D3" s="3" t="s">
        <v>68</v>
      </c>
      <c r="E3" s="3" t="s">
        <v>67</v>
      </c>
      <c r="F3" s="3" t="s">
        <v>66</v>
      </c>
      <c r="G3" s="3" t="s">
        <v>65</v>
      </c>
      <c r="H3" s="3" t="s">
        <v>64</v>
      </c>
      <c r="I3" s="3" t="s">
        <v>63</v>
      </c>
      <c r="J3" s="3" t="s">
        <v>62</v>
      </c>
      <c r="K3" s="3" t="s">
        <v>61</v>
      </c>
      <c r="L3" s="3" t="s">
        <v>60</v>
      </c>
      <c r="M3" s="3" t="s">
        <v>59</v>
      </c>
      <c r="N3" s="3" t="s">
        <v>58</v>
      </c>
      <c r="O3" s="3" t="s">
        <v>55</v>
      </c>
      <c r="P3" s="3" t="s">
        <v>54</v>
      </c>
      <c r="Q3" s="3" t="s">
        <v>53</v>
      </c>
      <c r="R3" s="3" t="s">
        <v>52</v>
      </c>
      <c r="S3" s="3" t="s">
        <v>51</v>
      </c>
      <c r="T3" s="3" t="s">
        <v>50</v>
      </c>
      <c r="U3" s="3" t="s">
        <v>49</v>
      </c>
      <c r="V3" s="3" t="s">
        <v>48</v>
      </c>
      <c r="W3" s="3" t="s">
        <v>47</v>
      </c>
      <c r="X3" s="3" t="s">
        <v>46</v>
      </c>
      <c r="Y3" s="3" t="s">
        <v>45</v>
      </c>
      <c r="Z3" s="3" t="s">
        <v>44</v>
      </c>
      <c r="AA3" s="29" t="s">
        <v>43</v>
      </c>
      <c r="AB3" s="29" t="s">
        <v>42</v>
      </c>
      <c r="AC3" s="29" t="s">
        <v>22</v>
      </c>
      <c r="AD3" s="29" t="s">
        <v>23</v>
      </c>
      <c r="AE3" s="29" t="s">
        <v>24</v>
      </c>
      <c r="AF3" s="29" t="s">
        <v>25</v>
      </c>
      <c r="AG3" s="29" t="s">
        <v>26</v>
      </c>
      <c r="AH3" s="3" t="s">
        <v>27</v>
      </c>
    </row>
    <row r="4" spans="1:34" ht="15.75" customHeight="1" x14ac:dyDescent="0.25">
      <c r="B4" s="2" t="s">
        <v>19</v>
      </c>
      <c r="C4" s="5">
        <v>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4">
        <v>1</v>
      </c>
      <c r="AD4" s="4">
        <v>1</v>
      </c>
      <c r="AE4" s="4">
        <v>1</v>
      </c>
      <c r="AF4" s="4">
        <v>1</v>
      </c>
      <c r="AG4" s="4">
        <v>0</v>
      </c>
      <c r="AH4" s="6">
        <f>SUM(D4:AG4)</f>
        <v>5</v>
      </c>
    </row>
    <row r="5" spans="1:34" ht="15.75" customHeight="1" x14ac:dyDescent="0.25">
      <c r="B5" s="2" t="s">
        <v>20</v>
      </c>
      <c r="C5" s="5">
        <v>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1</v>
      </c>
      <c r="AC5" s="4">
        <v>0</v>
      </c>
      <c r="AD5" s="4">
        <v>0</v>
      </c>
      <c r="AE5" s="4">
        <v>1</v>
      </c>
      <c r="AF5" s="4">
        <v>0</v>
      </c>
      <c r="AG5" s="4">
        <v>0</v>
      </c>
      <c r="AH5" s="6">
        <f>SUM(D5:AG5)</f>
        <v>3</v>
      </c>
    </row>
    <row r="6" spans="1:34" ht="15.75" customHeight="1" x14ac:dyDescent="0.25">
      <c r="A6" s="3"/>
      <c r="B6" s="2" t="s">
        <v>21</v>
      </c>
      <c r="C6" s="5">
        <v>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</v>
      </c>
      <c r="Z6" s="4">
        <v>1</v>
      </c>
      <c r="AA6" s="4">
        <v>1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6">
        <f>SUM(D6:AG6)</f>
        <v>3</v>
      </c>
    </row>
    <row r="7" spans="1:34" ht="15.75" customHeight="1" x14ac:dyDescent="0.25"/>
    <row r="8" spans="1:34" ht="15.75" customHeight="1" x14ac:dyDescent="0.25">
      <c r="B8" s="2" t="s">
        <v>30</v>
      </c>
      <c r="C8" s="5">
        <v>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1</v>
      </c>
      <c r="AG8" s="4">
        <v>0</v>
      </c>
      <c r="AH8" s="6">
        <f>SUM(D8:AG8)</f>
        <v>5</v>
      </c>
    </row>
    <row r="9" spans="1:34" ht="15.75" customHeight="1" x14ac:dyDescent="0.25">
      <c r="B9" s="2" t="s">
        <v>31</v>
      </c>
      <c r="C9" s="5">
        <v>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1</v>
      </c>
      <c r="Z9" s="4">
        <v>0</v>
      </c>
      <c r="AA9" s="4">
        <v>0</v>
      </c>
      <c r="AB9" s="4">
        <v>0</v>
      </c>
      <c r="AC9" s="4">
        <v>2</v>
      </c>
      <c r="AD9" s="4">
        <v>1</v>
      </c>
      <c r="AE9" s="4">
        <v>1</v>
      </c>
      <c r="AF9" s="4">
        <v>1</v>
      </c>
      <c r="AG9" s="4">
        <v>0</v>
      </c>
      <c r="AH9" s="6">
        <f>SUM(D9:AG9)</f>
        <v>6</v>
      </c>
    </row>
    <row r="10" spans="1:34" ht="15.75" customHeight="1" x14ac:dyDescent="0.25"/>
    <row r="11" spans="1:34" ht="15.75" customHeight="1" x14ac:dyDescent="0.25">
      <c r="B11" s="2" t="s">
        <v>32</v>
      </c>
      <c r="C11" s="5">
        <v>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2</v>
      </c>
      <c r="AE11" s="4">
        <v>1</v>
      </c>
      <c r="AF11" s="4">
        <v>0</v>
      </c>
      <c r="AG11" s="4">
        <v>0</v>
      </c>
      <c r="AH11" s="6">
        <f>SUM(D11:AG11)</f>
        <v>3</v>
      </c>
    </row>
    <row r="12" spans="1:34" ht="15.75" customHeight="1" x14ac:dyDescent="0.25">
      <c r="B12" s="2" t="s">
        <v>33</v>
      </c>
      <c r="C12" s="5">
        <v>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2</v>
      </c>
      <c r="AD12" s="4">
        <v>1</v>
      </c>
      <c r="AE12" s="4">
        <v>0</v>
      </c>
      <c r="AF12" s="4">
        <v>1</v>
      </c>
      <c r="AG12" s="4">
        <v>0</v>
      </c>
      <c r="AH12" s="6">
        <f>SUM(D12:AG12)</f>
        <v>4</v>
      </c>
    </row>
    <row r="13" spans="1:34" ht="15.75" customHeight="1" x14ac:dyDescent="0.25">
      <c r="B13" s="2" t="s">
        <v>34</v>
      </c>
      <c r="C13" s="5">
        <v>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1</v>
      </c>
      <c r="AA13" s="4">
        <v>0</v>
      </c>
      <c r="AB13" s="4">
        <v>0</v>
      </c>
      <c r="AC13" s="4">
        <v>1</v>
      </c>
      <c r="AD13" s="4">
        <v>0</v>
      </c>
      <c r="AE13" s="4">
        <v>1</v>
      </c>
      <c r="AF13" s="4">
        <v>1</v>
      </c>
      <c r="AG13" s="4">
        <v>0</v>
      </c>
      <c r="AH13" s="6">
        <f>SUM(D13:AG13)</f>
        <v>4</v>
      </c>
    </row>
    <row r="14" spans="1:34" ht="15.75" customHeight="1" x14ac:dyDescent="0.25"/>
    <row r="15" spans="1:34" ht="15.75" customHeight="1" x14ac:dyDescent="0.25">
      <c r="B15" s="2" t="s">
        <v>37</v>
      </c>
      <c r="C15" s="5">
        <v>3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1</v>
      </c>
      <c r="T15" s="4">
        <v>0</v>
      </c>
      <c r="U15" s="4">
        <v>0</v>
      </c>
      <c r="V15" s="4">
        <v>1</v>
      </c>
      <c r="W15" s="4">
        <v>0</v>
      </c>
      <c r="X15" s="4">
        <v>1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1</v>
      </c>
      <c r="AE15" s="4">
        <v>0</v>
      </c>
      <c r="AF15" s="4">
        <v>0</v>
      </c>
      <c r="AG15" s="4">
        <v>0</v>
      </c>
      <c r="AH15" s="6">
        <f>SUM(D15:AG15)</f>
        <v>4</v>
      </c>
    </row>
    <row r="16" spans="1:34" ht="15.75" customHeight="1" x14ac:dyDescent="0.25">
      <c r="B16" s="2" t="s">
        <v>38</v>
      </c>
      <c r="C16" s="5">
        <v>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</v>
      </c>
      <c r="S16" s="4">
        <v>0</v>
      </c>
      <c r="T16" s="4">
        <v>0</v>
      </c>
      <c r="U16" s="4">
        <v>1</v>
      </c>
      <c r="V16" s="4">
        <v>0</v>
      </c>
      <c r="W16" s="4">
        <v>0</v>
      </c>
      <c r="X16" s="4">
        <v>1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6">
        <f>SUM(D16:AG16)</f>
        <v>3</v>
      </c>
    </row>
    <row r="17" spans="2:34" ht="15.75" customHeight="1" x14ac:dyDescent="0.25"/>
    <row r="18" spans="2:34" ht="15.75" customHeight="1" x14ac:dyDescent="0.25">
      <c r="B18" s="2" t="s">
        <v>39</v>
      </c>
      <c r="C18" s="5">
        <v>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</v>
      </c>
      <c r="Q18" s="4">
        <v>1</v>
      </c>
      <c r="R18" s="4">
        <v>0</v>
      </c>
      <c r="S18" s="4">
        <v>1</v>
      </c>
      <c r="T18" s="4">
        <v>0</v>
      </c>
      <c r="U18" s="4">
        <v>0</v>
      </c>
      <c r="V18" s="4">
        <v>0</v>
      </c>
      <c r="W18" s="4">
        <v>0</v>
      </c>
      <c r="X18" s="4">
        <v>2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6">
        <f>SUM(D18:AG18)</f>
        <v>5</v>
      </c>
    </row>
    <row r="19" spans="2:34" ht="15.75" customHeight="1" x14ac:dyDescent="0.25">
      <c r="B19" s="2" t="s">
        <v>40</v>
      </c>
      <c r="C19" s="5">
        <v>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2</v>
      </c>
      <c r="S19" s="4">
        <v>0</v>
      </c>
      <c r="T19" s="4">
        <v>1</v>
      </c>
      <c r="U19" s="4">
        <v>0</v>
      </c>
      <c r="V19" s="4">
        <v>0</v>
      </c>
      <c r="W19" s="4">
        <v>1</v>
      </c>
      <c r="X19" s="4">
        <v>1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6">
        <f>SUM(D19:AG19)</f>
        <v>5</v>
      </c>
    </row>
    <row r="20" spans="2:34" ht="15.75" customHeight="1" x14ac:dyDescent="0.25"/>
    <row r="21" spans="2:34" ht="15.75" customHeight="1" x14ac:dyDescent="0.25">
      <c r="B21" s="2" t="s">
        <v>35</v>
      </c>
      <c r="C21" s="5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1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2</v>
      </c>
      <c r="W21" s="4">
        <v>0</v>
      </c>
      <c r="X21" s="4">
        <v>0</v>
      </c>
      <c r="Y21" s="4">
        <v>1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6">
        <f>SUM(D21:AG21)</f>
        <v>4</v>
      </c>
    </row>
    <row r="22" spans="2:34" ht="15.75" customHeight="1" x14ac:dyDescent="0.25">
      <c r="AH22" s="26"/>
    </row>
    <row r="23" spans="2:34" ht="15.75" customHeight="1" x14ac:dyDescent="0.25">
      <c r="B23" s="2" t="s">
        <v>56</v>
      </c>
      <c r="C23" s="5">
        <v>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4</v>
      </c>
      <c r="J23" s="4">
        <v>4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6">
        <f t="shared" ref="AH23:AH29" si="0">SUM(D23:AG23)</f>
        <v>8</v>
      </c>
    </row>
    <row r="24" spans="2:34" ht="15.75" customHeight="1" x14ac:dyDescent="0.25">
      <c r="B24" s="2" t="s">
        <v>69</v>
      </c>
      <c r="C24" s="5">
        <v>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>
        <v>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s="6">
        <f t="shared" si="0"/>
        <v>8</v>
      </c>
    </row>
    <row r="25" spans="2:34" ht="15.75" customHeight="1" x14ac:dyDescent="0.25">
      <c r="AH25" s="26"/>
    </row>
    <row r="26" spans="2:34" ht="15.75" customHeight="1" x14ac:dyDescent="0.25">
      <c r="B26" s="2" t="s">
        <v>57</v>
      </c>
      <c r="C26" s="5">
        <v>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4</v>
      </c>
      <c r="N26">
        <v>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s="6">
        <f t="shared" si="0"/>
        <v>8</v>
      </c>
    </row>
    <row r="27" spans="2:34" ht="15.75" customHeight="1" x14ac:dyDescent="0.25">
      <c r="AH27" s="26"/>
    </row>
    <row r="28" spans="2:34" ht="15.75" customHeight="1" x14ac:dyDescent="0.25">
      <c r="B28" s="7" t="s">
        <v>28</v>
      </c>
      <c r="C28">
        <f>SUM(C4:C26)</f>
        <v>65</v>
      </c>
      <c r="D28" s="3">
        <f t="shared" ref="D28:AF28" si="1">C28-SUM(D4:D6,D8:D9,D11:D13,D15:D16, D18:D19, D21, D23,D24,D26)</f>
        <v>65</v>
      </c>
      <c r="E28" s="3">
        <f t="shared" si="1"/>
        <v>65</v>
      </c>
      <c r="F28" s="3">
        <f t="shared" si="1"/>
        <v>65</v>
      </c>
      <c r="G28" s="3">
        <f t="shared" si="1"/>
        <v>65</v>
      </c>
      <c r="H28" s="3">
        <f t="shared" si="1"/>
        <v>65</v>
      </c>
      <c r="I28" s="3">
        <f t="shared" si="1"/>
        <v>61</v>
      </c>
      <c r="J28" s="3">
        <f t="shared" si="1"/>
        <v>57</v>
      </c>
      <c r="K28" s="3">
        <f t="shared" si="1"/>
        <v>53</v>
      </c>
      <c r="L28" s="3">
        <f t="shared" si="1"/>
        <v>49</v>
      </c>
      <c r="M28" s="3">
        <f t="shared" si="1"/>
        <v>45</v>
      </c>
      <c r="N28" s="3">
        <f t="shared" si="1"/>
        <v>41</v>
      </c>
      <c r="O28" s="3">
        <f t="shared" si="1"/>
        <v>40</v>
      </c>
      <c r="P28" s="3">
        <f t="shared" si="1"/>
        <v>39</v>
      </c>
      <c r="Q28" s="3">
        <f t="shared" si="1"/>
        <v>38</v>
      </c>
      <c r="R28" s="3">
        <f t="shared" si="1"/>
        <v>35</v>
      </c>
      <c r="S28" s="3">
        <f t="shared" si="1"/>
        <v>33</v>
      </c>
      <c r="T28" s="3">
        <f t="shared" si="1"/>
        <v>32</v>
      </c>
      <c r="U28" s="3">
        <f t="shared" si="1"/>
        <v>31</v>
      </c>
      <c r="V28" s="3">
        <f t="shared" si="1"/>
        <v>28</v>
      </c>
      <c r="W28" s="3">
        <f t="shared" si="1"/>
        <v>27</v>
      </c>
      <c r="X28" s="3">
        <f t="shared" si="1"/>
        <v>22</v>
      </c>
      <c r="Y28" s="3">
        <f t="shared" si="1"/>
        <v>19</v>
      </c>
      <c r="Z28" s="3">
        <f t="shared" si="1"/>
        <v>16</v>
      </c>
      <c r="AA28" s="3">
        <f t="shared" si="1"/>
        <v>12</v>
      </c>
      <c r="AB28" s="3">
        <f t="shared" si="1"/>
        <v>10</v>
      </c>
      <c r="AC28" s="3">
        <f t="shared" si="1"/>
        <v>3</v>
      </c>
      <c r="AD28" s="3">
        <f t="shared" si="1"/>
        <v>-3</v>
      </c>
      <c r="AE28" s="3">
        <f t="shared" si="1"/>
        <v>-8</v>
      </c>
      <c r="AF28" s="3">
        <f t="shared" si="1"/>
        <v>-13</v>
      </c>
      <c r="AG28" s="3">
        <f>AF28-SUM(AG4:AG6,AG8:AG9,AG11:AG13,AG15:AG16, AG18:AG19, AG21, AG23,AG24,AG26)</f>
        <v>-13</v>
      </c>
      <c r="AH28" s="6">
        <f t="shared" si="0"/>
        <v>979</v>
      </c>
    </row>
    <row r="29" spans="2:34" ht="15.75" customHeight="1" x14ac:dyDescent="0.25">
      <c r="B29" s="7" t="s">
        <v>29</v>
      </c>
      <c r="C29">
        <f>SUM(C4:C26)</f>
        <v>65</v>
      </c>
      <c r="D29" s="25">
        <f>C29-(SUM($C$4:$C$6,$C$8:$C$9,$C$11:$C$13,$C$15:$C$16,$C$18:$C$19:$C$21,$C23:$C24, $C26)/30)</f>
        <v>62.833333333333336</v>
      </c>
      <c r="E29" s="25">
        <f>D29-(SUM($C$4:$C$6,$C$8:$C$9,$C$11:$C$13,$C$15:$C$16,$C$18:$C$19:$C$21,$C23:$C24, $C26)/30)</f>
        <v>60.666666666666671</v>
      </c>
      <c r="F29" s="25">
        <f>E29-(SUM($C$4:$C$6,$C$8:$C$9,$C$11:$C$13,$C$15:$C$16,$C$18:$C$19:$C$21,$C23:$C24, $C26)/30)</f>
        <v>58.500000000000007</v>
      </c>
      <c r="G29" s="25">
        <f>F29-(SUM($C$4:$C$6,$C$8:$C$9,$C$11:$C$13,$C$15:$C$16,$C$18:$C$19:$C$21,$C23:$C24, $C26)/30)</f>
        <v>56.333333333333343</v>
      </c>
      <c r="H29" s="25">
        <f>G29-(SUM($C$4:$C$6,$C$8:$C$9,$C$11:$C$13,$C$15:$C$16,$C$18:$C$19:$C$21,$C23:$C24, $C26)/30)</f>
        <v>54.166666666666679</v>
      </c>
      <c r="I29" s="25">
        <f>H29-(SUM($C$4:$C$6,$C$8:$C$9,$C$11:$C$13,$C$15:$C$16,$C$18:$C$19:$C$21,$C23:$C24, $C26)/30)</f>
        <v>52.000000000000014</v>
      </c>
      <c r="J29" s="25">
        <f>I29-(SUM($C$4:$C$6,$C$8:$C$9,$C$11:$C$13,$C$15:$C$16,$C$18:$C$19:$C$21,$C23:$C24, $C26)/30)</f>
        <v>49.83333333333335</v>
      </c>
      <c r="K29" s="25">
        <f>J29-(SUM($C$4:$C$6,$C$8:$C$9,$C$11:$C$13,$C$15:$C$16,$C$18:$C$19:$C$21,$C23:$C24, $C26)/30)</f>
        <v>47.666666666666686</v>
      </c>
      <c r="L29" s="25">
        <f>K29-(SUM($C$4:$C$6,$C$8:$C$9,$C$11:$C$13,$C$15:$C$16,$C$18:$C$19:$C$21,$C23:$C24, $C26)/30)</f>
        <v>45.500000000000021</v>
      </c>
      <c r="M29" s="25">
        <f>L29-(SUM($C$4:$C$6,$C$8:$C$9,$C$11:$C$13,$C$15:$C$16,$C$18:$C$19:$C$21,$C23:$C24, $C26)/30)</f>
        <v>43.333333333333357</v>
      </c>
      <c r="N29" s="25">
        <f>M29-(SUM($C$4:$C$6,$C$8:$C$9,$C$11:$C$13,$C$15:$C$16,$C$18:$C$19:$C$21,$C23:$C24, $C26)/30)</f>
        <v>41.166666666666693</v>
      </c>
      <c r="O29" s="25">
        <f>N29-(SUM($C$4:$C$6,$C$8:$C$9,$C$11:$C$13,$C$15:$C$16,$C$18:$C$19:$C$21,$C23:$C24, $C26)/30)</f>
        <v>39.000000000000028</v>
      </c>
      <c r="P29" s="25">
        <f>O29-(SUM($C$4:$C$6,$C$8:$C$9,$C$11:$C$13,$C$15:$C$16,$C$18:$C$19:$C$21,$C23:$C24, $C26)/30)</f>
        <v>36.833333333333364</v>
      </c>
      <c r="Q29" s="25">
        <f>P29-(SUM($C$4:$C$6,$C$8:$C$9,$C$11:$C$13,$C$15:$C$16,$C$18:$C$19:$C$21,$C23:$C24, $C26)/30)</f>
        <v>34.6666666666667</v>
      </c>
      <c r="R29" s="25">
        <f>Q29-(SUM($C$4:$C$6,$C$8:$C$9,$C$11:$C$13,$C$15:$C$16,$C$18:$C$19:$C$21,$C23:$C24, $C26)/30)</f>
        <v>32.500000000000036</v>
      </c>
      <c r="S29" s="25">
        <f>R29-(SUM($C$4:$C$6,$C$8:$C$9,$C$11:$C$13,$C$15:$C$16,$C$18:$C$19:$C$21,$C23:$C24, $C26)/30)</f>
        <v>30.333333333333368</v>
      </c>
      <c r="T29" s="25">
        <f>S29-(SUM($C$4:$C$6,$C$8:$C$9,$C$11:$C$13,$C$15:$C$16,$C$18:$C$19:$C$21,$C23:$C24, $C26)/30)</f>
        <v>28.1666666666667</v>
      </c>
      <c r="U29" s="25">
        <f>T29-(SUM($C$4:$C$6,$C$8:$C$9,$C$11:$C$13,$C$15:$C$16,$C$18:$C$19:$C$21,$C23:$C24, $C26)/30)</f>
        <v>26.000000000000032</v>
      </c>
      <c r="V29" s="25">
        <f>U29-(SUM($C$4:$C$6,$C$8:$C$9,$C$11:$C$13,$C$15:$C$16,$C$18:$C$19:$C$21,$C23:$C24, $C26)/30)</f>
        <v>23.833333333333364</v>
      </c>
      <c r="W29" s="25">
        <f>V29-(SUM($C$4:$C$6,$C$8:$C$9,$C$11:$C$13,$C$15:$C$16,$C$18:$C$19:$C$21,$C23:$C24, $C26)/30)</f>
        <v>21.666666666666696</v>
      </c>
      <c r="X29" s="25">
        <f>W29-(SUM($C$4:$C$6,$C$8:$C$9,$C$11:$C$13,$C$15:$C$16,$C$18:$C$19:$C$21,$C23:$C24, $C26)/30)</f>
        <v>19.500000000000028</v>
      </c>
      <c r="Y29" s="25">
        <f>X29-(SUM($C$4:$C$6,$C$8:$C$9,$C$11:$C$13,$C$15:$C$16,$C$18:$C$19:$C$21,$C23:$C24, $C26)/30)</f>
        <v>17.333333333333361</v>
      </c>
      <c r="Z29" s="25">
        <f>Y29-(SUM($C$4:$C$6,$C$8:$C$9,$C$11:$C$13,$C$15:$C$16,$C$18:$C$19:$C$21,$C23:$C24, $C26)/30)</f>
        <v>15.166666666666694</v>
      </c>
      <c r="AA29" s="25">
        <f>Z29-(SUM($C$4:$C$6,$C$8:$C$9,$C$11:$C$13,$C$15:$C$16,$C$18:$C$19:$C$21,$C23:$C24, $C26)/30)</f>
        <v>13.000000000000028</v>
      </c>
      <c r="AB29" s="25">
        <f>AA29-(SUM($C$4:$C$6,$C$8:$C$9,$C$11:$C$13,$C$15:$C$16,$C$18:$C$19:$C$21,$C23:$C24, $C26)/30)</f>
        <v>10.833333333333362</v>
      </c>
      <c r="AC29" s="25">
        <f>AB29-(SUM($C$4:$C$6,$C$8:$C$9,$C$11:$C$13,$C$15:$C$16,$C$18:$C$19:$C$21,$C23:$C24, $C26)/30)</f>
        <v>8.6666666666666963</v>
      </c>
      <c r="AD29" s="25">
        <f>AC29-(SUM($C$4:$C$6,$C$8:$C$9,$C$11:$C$13,$C$15:$C$16,$C$18:$C$19:$C$21,$C23:$C24, $C26)/30)</f>
        <v>6.5000000000000302</v>
      </c>
      <c r="AE29" s="25">
        <f>AD29-(SUM($C$4:$C$6,$C$8:$C$9,$C$11:$C$13,$C$15:$C$16,$C$18:$C$19:$C$21,$C23:$C24, $C26)/30)</f>
        <v>4.3333333333333641</v>
      </c>
      <c r="AF29" s="25">
        <f>AE29-(SUM($C$4:$C$6,$C$8:$C$9,$C$11:$C$13,$C$15:$C$16,$C$18:$C$19:$C$21,$C23:$C24, $C26)/30)</f>
        <v>2.1666666666666976</v>
      </c>
      <c r="AG29" s="25">
        <f>AF29-(SUM($C$4:$C$6,$C$8:$C$9,$C$11:$C$13,$C$15:$C$16,$C$18:$C$19:$C$21,$C23:$C24, $C26)/30)</f>
        <v>3.1086244689504383E-14</v>
      </c>
      <c r="AH29" s="6">
        <f t="shared" si="0"/>
        <v>942.5000000000008</v>
      </c>
    </row>
    <row r="30" spans="2:34" ht="15.75" customHeight="1" x14ac:dyDescent="0.25"/>
    <row r="31" spans="2:34" ht="15.75" customHeight="1" x14ac:dyDescent="0.25"/>
    <row r="32" spans="2:34" ht="15.75" customHeight="1" x14ac:dyDescent="0.25"/>
    <row r="33" spans="2:9" ht="15.75" customHeight="1" x14ac:dyDescent="0.25">
      <c r="B33" s="18"/>
      <c r="C33" s="19"/>
      <c r="D33" s="19"/>
      <c r="E33" s="19"/>
      <c r="F33" s="19"/>
      <c r="G33" s="19"/>
      <c r="H33" s="19"/>
      <c r="I33" s="20"/>
    </row>
    <row r="34" spans="2:9" ht="15.75" customHeight="1" x14ac:dyDescent="0.25">
      <c r="B34" s="20"/>
      <c r="C34" s="20"/>
      <c r="D34" s="20"/>
      <c r="E34" s="20"/>
      <c r="F34" s="20"/>
      <c r="G34" s="20"/>
      <c r="H34" s="20"/>
      <c r="I34" s="20"/>
    </row>
    <row r="35" spans="2:9" ht="15.75" customHeight="1" x14ac:dyDescent="0.25">
      <c r="B35" s="18"/>
      <c r="C35" s="19"/>
      <c r="D35" s="19"/>
      <c r="E35" s="19"/>
      <c r="F35" s="19"/>
      <c r="G35" s="19"/>
      <c r="H35" s="19"/>
      <c r="I35" s="20"/>
    </row>
    <row r="36" spans="2:9" ht="15.75" customHeight="1" x14ac:dyDescent="0.25">
      <c r="B36" s="18"/>
      <c r="C36" s="19"/>
      <c r="D36" s="19"/>
      <c r="E36" s="19"/>
      <c r="F36" s="19"/>
      <c r="G36" s="19"/>
      <c r="H36" s="19"/>
      <c r="I36" s="20"/>
    </row>
    <row r="37" spans="2:9" ht="15.75" customHeight="1" x14ac:dyDescent="0.25"/>
    <row r="38" spans="2:9" ht="15.75" customHeight="1" x14ac:dyDescent="0.25">
      <c r="B38" s="27"/>
      <c r="C38" s="27"/>
      <c r="D38" s="27"/>
      <c r="E38" s="27"/>
      <c r="F38" s="27"/>
      <c r="G38" s="27"/>
    </row>
    <row r="39" spans="2:9" ht="15.75" customHeight="1" x14ac:dyDescent="0.25">
      <c r="B39" s="27"/>
      <c r="C39" s="27"/>
      <c r="D39" s="27"/>
      <c r="E39" s="27"/>
      <c r="F39" s="27"/>
      <c r="G39" s="27"/>
    </row>
    <row r="40" spans="2:9" ht="15.75" customHeight="1" x14ac:dyDescent="0.25">
      <c r="B40" s="27"/>
      <c r="C40" s="27"/>
      <c r="D40" s="27"/>
      <c r="E40" s="27"/>
      <c r="F40" s="27"/>
      <c r="G40" s="27"/>
    </row>
    <row r="41" spans="2:9" ht="15.75" customHeight="1" x14ac:dyDescent="0.25">
      <c r="B41" s="27"/>
      <c r="C41" s="27"/>
      <c r="D41" s="27"/>
      <c r="E41" s="27"/>
      <c r="F41" s="27"/>
      <c r="G41" s="27"/>
    </row>
    <row r="42" spans="2:9" ht="15.75" customHeight="1" x14ac:dyDescent="0.25">
      <c r="B42" s="27"/>
      <c r="C42" s="27"/>
      <c r="D42" s="27"/>
      <c r="E42" s="27"/>
      <c r="F42" s="27"/>
      <c r="G42" s="27"/>
    </row>
    <row r="43" spans="2:9" ht="15.75" customHeight="1" x14ac:dyDescent="0.25">
      <c r="B43" s="27"/>
      <c r="C43" s="27"/>
      <c r="D43" s="27"/>
      <c r="E43" s="27"/>
      <c r="F43" s="27"/>
      <c r="G43" s="27"/>
    </row>
    <row r="44" spans="2:9" ht="15.75" customHeight="1" x14ac:dyDescent="0.25">
      <c r="B44" s="27"/>
      <c r="C44" s="27"/>
      <c r="D44" s="27"/>
      <c r="E44" s="27"/>
      <c r="F44" s="27"/>
      <c r="G44" s="27"/>
    </row>
    <row r="45" spans="2:9" ht="15.75" customHeight="1" x14ac:dyDescent="0.25">
      <c r="B45" s="27"/>
      <c r="C45" s="27"/>
      <c r="D45" s="27"/>
      <c r="E45" s="27"/>
      <c r="F45" s="27"/>
      <c r="G45" s="27"/>
    </row>
    <row r="46" spans="2:9" ht="15.75" customHeight="1" x14ac:dyDescent="0.25"/>
    <row r="47" spans="2:9" ht="15.75" customHeight="1" x14ac:dyDescent="0.25"/>
    <row r="48" spans="2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</sheetData>
  <phoneticPr fontId="4" type="noConversion"/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Cristian Becerra</cp:lastModifiedBy>
  <dcterms:created xsi:type="dcterms:W3CDTF">2023-06-05T13:12:31Z</dcterms:created>
  <dcterms:modified xsi:type="dcterms:W3CDTF">2025-11-24T17:45:45Z</dcterms:modified>
</cp:coreProperties>
</file>