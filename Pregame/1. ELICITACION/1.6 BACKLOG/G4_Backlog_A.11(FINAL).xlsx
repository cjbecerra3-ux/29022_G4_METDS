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4B335AD0-0BA1-414E-8D53-36BF4C44875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4" i="3" l="1"/>
  <c r="D94" i="3"/>
  <c r="T35" i="3"/>
  <c r="T34" i="3"/>
  <c r="T33" i="3"/>
  <c r="T31" i="3"/>
  <c r="T30" i="3"/>
  <c r="T29" i="3"/>
  <c r="T28" i="3"/>
  <c r="T26" i="3"/>
  <c r="T25" i="3"/>
  <c r="T24" i="3"/>
  <c r="T23" i="3"/>
  <c r="T46" i="3"/>
  <c r="T45" i="3"/>
  <c r="T44" i="3"/>
  <c r="T42" i="3"/>
  <c r="T41" i="3"/>
  <c r="T40" i="3"/>
  <c r="T39" i="3"/>
  <c r="T7" i="3" l="1"/>
  <c r="T10" i="3"/>
  <c r="T17" i="3"/>
  <c r="C95" i="3"/>
  <c r="D95" i="3" l="1"/>
  <c r="E95" i="3" l="1"/>
  <c r="F95" i="3" s="1"/>
  <c r="G95" i="3" s="1"/>
  <c r="H95" i="3" s="1"/>
  <c r="I95" i="3" s="1"/>
  <c r="J95" i="3" s="1"/>
  <c r="K95" i="3" s="1"/>
  <c r="L95" i="3" s="1"/>
  <c r="M95" i="3" s="1"/>
  <c r="N95" i="3" s="1"/>
  <c r="O95" i="3" s="1"/>
  <c r="P95" i="3" s="1"/>
  <c r="T4" i="3"/>
  <c r="T19" i="3"/>
  <c r="T18" i="3"/>
  <c r="Q95" i="3" l="1"/>
  <c r="R95" i="3" s="1"/>
  <c r="S95" i="3" s="1"/>
  <c r="T16" i="3"/>
  <c r="T15" i="3"/>
  <c r="T13" i="3"/>
  <c r="T12" i="3"/>
  <c r="T11" i="3"/>
  <c r="T9" i="3"/>
  <c r="T95" i="3" l="1"/>
  <c r="T5" i="3"/>
  <c r="T6" i="3"/>
  <c r="E94" i="3" l="1"/>
  <c r="F94" i="3" s="1"/>
  <c r="G94" i="3" s="1"/>
  <c r="H94" i="3" s="1"/>
  <c r="I94" i="3" s="1"/>
  <c r="J94" i="3" s="1"/>
  <c r="K94" i="3" s="1"/>
  <c r="L94" i="3" s="1"/>
  <c r="M94" i="3" s="1"/>
  <c r="N94" i="3" s="1"/>
  <c r="O94" i="3" s="1"/>
  <c r="P94" i="3" s="1"/>
  <c r="Q94" i="3" l="1"/>
  <c r="R94" i="3" s="1"/>
  <c r="S94" i="3" s="1"/>
  <c r="T94" i="3" l="1"/>
</calcChain>
</file>

<file path=xl/sharedStrings.xml><?xml version="1.0" encoding="utf-8"?>
<sst xmlns="http://schemas.openxmlformats.org/spreadsheetml/2006/main" count="434" uniqueCount="163">
  <si>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</si>
  <si>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</si>
  <si>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</si>
  <si>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</si>
  <si>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</si>
  <si>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</si>
  <si>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</si>
  <si>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</si>
  <si>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</si>
  <si>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</si>
  <si>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</si>
  <si>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</si>
  <si>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</si>
  <si>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</si>
  <si>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</si>
  <si>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</si>
  <si>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</si>
  <si>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</si>
  <si>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</si>
  <si>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</si>
  <si>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</si>
  <si>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</si>
  <si>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</si>
  <si>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</si>
  <si>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</si>
  <si>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</si>
  <si>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</si>
  <si>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</si>
  <si>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</si>
  <si>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</si>
  <si>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</si>
  <si>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</si>
  <si>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</si>
  <si>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</si>
  <si>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</si>
  <si>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</si>
  <si>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</si>
  <si>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</si>
  <si>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</si>
  <si>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</si>
  <si>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</si>
  <si>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</si>
  <si>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</si>
  <si>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</si>
  <si>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</si>
  <si>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</si>
  <si>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</si>
  <si>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</si>
  <si>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</si>
  <si>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</si>
  <si>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</si>
  <si>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</si>
  <si>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RQ004</t>
  </si>
  <si>
    <t>Reportes Diarios</t>
  </si>
  <si>
    <t>Generar reportes con informacion relevante de las comandas.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</si>
  <si>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</si>
  <si>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</si>
  <si>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</si>
  <si>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</si>
  <si>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</si>
  <si>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</si>
  <si>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</si>
  <si>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</si>
  <si>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</si>
  <si>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</si>
  <si>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</si>
  <si>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</si>
  <si>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</si>
  <si>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</si>
  <si>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</si>
  <si>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</si>
  <si>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</si>
  <si>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</si>
  <si>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</si>
  <si>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</si>
  <si>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</si>
  <si>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</si>
  <si>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</si>
  <si>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</si>
  <si>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</si>
  <si>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</si>
  <si>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</si>
  <si>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</si>
  <si>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RQ005</t>
  </si>
  <si>
    <t>Garantizar que los usuarios puedan mantener sus datos de acceso actualizados y seguros.</t>
  </si>
  <si>
    <t>Pendiente</t>
  </si>
  <si>
    <t>RQ005-1</t>
  </si>
  <si>
    <t>RQ005-2</t>
  </si>
  <si>
    <t>RQ005-3</t>
  </si>
  <si>
    <t>RQ005-4</t>
  </si>
  <si>
    <t>RQ006</t>
  </si>
  <si>
    <t>Para contraseña, pedirla dos veces (Nueva Contraseña y Confirmar Contraseña) para evitar errores</t>
  </si>
  <si>
    <t>Creacion del boton "Guardar Cambios" debe actualizar las credenciales en la base de datos si todas las validaciones son exitosas</t>
  </si>
  <si>
    <t>El sistema debe validar cuando se ingrese en cualquier botón, mostrar preguntas de seguridad para confirmar su identidad</t>
  </si>
  <si>
    <t>RQ007</t>
  </si>
  <si>
    <t>Control de Tiempos</t>
  </si>
  <si>
    <t>Registrar y visualizar el tiempo de preparación de cada comanda</t>
  </si>
  <si>
    <t>Medir la eficiencia del servicio y optimizar tiempos de atención</t>
  </si>
  <si>
    <t>RQ007-1</t>
  </si>
  <si>
    <t>RQ007-2</t>
  </si>
  <si>
    <t>Configurar sistema para registrar hora automática al crear nueva comanda</t>
  </si>
  <si>
    <t>RQ007-3</t>
  </si>
  <si>
    <t>Al marcar comanda como "Realizado", registrar hora final y calcular tiempo total</t>
  </si>
  <si>
    <t>RQ007-4</t>
  </si>
  <si>
    <t>RQ008</t>
  </si>
  <si>
    <t>Categorización Menú</t>
  </si>
  <si>
    <t>Organizar los platos en categorías (entradas, principales, postres, bebidas)</t>
  </si>
  <si>
    <t>Facilitar la navegación y selección de platos para agilizar pedidos</t>
  </si>
  <si>
    <t>RQ008-1</t>
  </si>
  <si>
    <t>RQ008-2</t>
  </si>
  <si>
    <t>Implementar filtrado de productos por categoría seleccionada</t>
  </si>
  <si>
    <t>Registrar tiempo de preparación de cada comanda</t>
  </si>
  <si>
    <t>Medir eficiencia y optimizar tiempos de atención</t>
  </si>
  <si>
    <t>Organizar platos en categorías</t>
  </si>
  <si>
    <t>Facilitar navegación y agilizar pedidos</t>
  </si>
  <si>
    <t>RQ006-1</t>
  </si>
  <si>
    <t>RQ006-2</t>
  </si>
  <si>
    <t>RQ006-3</t>
  </si>
  <si>
    <t>RQ006-4</t>
  </si>
  <si>
    <t>Gestión de Roles de Usuario</t>
  </si>
  <si>
    <t>asignar un rol de usuario dependiendo del cargo y su acceso a diferentes interfaces</t>
  </si>
  <si>
    <t>segmentar el acceso a las diferentes funcionalidades del sistema</t>
  </si>
  <si>
    <t>Definir y configurar los diferentes roles del sistema (ej: Administrador, Cajero, Mesero, Cocina), con sus respectivos permisos y accesos a interfaces</t>
  </si>
  <si>
    <t>Implementar la lógica de restricción de acceso, donde cada rol solo pueda ver y usar las interfaces y funcionalidades asignadas</t>
  </si>
  <si>
    <t>Recuperacion de contrasela</t>
  </si>
  <si>
    <t>Crear apartados en la pantalla de inicio con un boton que muestre "Olvido su contraseña"</t>
  </si>
  <si>
    <t>Recuperar la contraseña en caso de ser olvidada</t>
  </si>
  <si>
    <t>Desarrollar lista de categorías</t>
  </si>
  <si>
    <t>Implementar la asignación de roles a los usuarios según su cargo dentro del sistema</t>
  </si>
  <si>
    <t>Guardar Hora actual  al generar comanda</t>
  </si>
  <si>
    <t>Visualizar en los detalles de la comanda el tiempo de demora en la realizacion de la comanda</t>
  </si>
  <si>
    <t>Subdividir los productos en cada una de las categorias</t>
  </si>
  <si>
    <t>RQ008-3</t>
  </si>
  <si>
    <t>Recuperacion de credenciales</t>
  </si>
  <si>
    <t>Recuperar la contraseña cuando se es olvidada</t>
  </si>
  <si>
    <t>Mantener mis datos de acceso</t>
  </si>
  <si>
    <t>Completado</t>
  </si>
  <si>
    <t>Sprint 1</t>
  </si>
  <si>
    <t>Sprint 2</t>
  </si>
  <si>
    <t>Sprint 3</t>
  </si>
  <si>
    <t>Asignar un rol de usuario dependiendo del cargo y su acceso a diferentes interfaces</t>
  </si>
  <si>
    <t>Reducir errores y agilizar la toma de pedidos.</t>
  </si>
  <si>
    <t xml:space="preserve">Visualizar y tener un seguimiento del estado actual de la comanda. </t>
  </si>
  <si>
    <t>Analizar los reportes diarios, para un mejor control de las comandas realizadas y sus totales.</t>
  </si>
  <si>
    <t>Segmentar el acceso a las diferentes funcionalidades del sistema</t>
  </si>
  <si>
    <t xml:space="preserve">  Crear la interfaz de generador de reportes diarios que contendra la busqueda por fecha, tipo de reporte y el botón generar reporte</t>
  </si>
  <si>
    <t xml:space="preserve">  El reporte debe generar un listado diario con platos vendidos, precios y cantidades</t>
  </si>
  <si>
    <t xml:space="preserve">  El reporte debe incluir datos de hora de cada comanda generada</t>
  </si>
  <si>
    <t xml:space="preserve">  El reporte debe calcular y mostrar el total general de ventas del día</t>
  </si>
  <si>
    <t xml:space="preserve">  Los cambios deben reflejarse en tiempo real al actualizar el estado</t>
  </si>
  <si>
    <t xml:space="preserve">  El botón "Realizado" debe cambiar pedidos de "en proceso" a "Realizados"</t>
  </si>
  <si>
    <t xml:space="preserve">  Cada pedido debe mostrar detalles completos de la comanda</t>
  </si>
  <si>
    <t xml:space="preserve">  Los pedidos deben organizarse en orden de llegada</t>
  </si>
  <si>
    <t xml:space="preserve">  La pantalla debe mostrar dos secciones: "Pedidos en Proceso" en rojo y "Pedidos Listos" en verde</t>
  </si>
  <si>
    <t xml:space="preserve">  El botón de confirmación debe generar y guardar la comanda en la base de datos</t>
  </si>
  <si>
    <t xml:space="preserve">  El resumen debe mostrar la comanda con cálculo automático del precio total</t>
  </si>
  <si>
    <t xml:space="preserve">  La interfaz debe incluir un campo para comentarios o peticiones especiales del cliente</t>
  </si>
  <si>
    <t xml:space="preserve">  La comanda debe permitir recolectar datos del pedido, incluyendo nombre del cliente, platos, cantidades y precios</t>
  </si>
  <si>
    <t xml:space="preserve">  La interfaz debe mostrar todos los productos con precios visibles y un selector de cantidades</t>
  </si>
  <si>
    <t xml:space="preserve">  El sistema debe bloquearse automáticamente por 30 segundos después de 3 intentos fallidos de inicio de sesión</t>
  </si>
  <si>
    <t xml:space="preserve">  El sistema debe mostrar el mensaje 'Credenciales incorrectas' cuando las credenciales sean inválidas</t>
  </si>
  <si>
    <t xml:space="preserve">  El campo de contraseña debe mostrarse enmascarado con asteriscos por seguridad (••••)</t>
  </si>
  <si>
    <t xml:space="preserve">  El sistema debe validar que el usuario y la contraseña ingresados sean correctos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</si>
</sst>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70C0"/>
      <name val="Arial"/>
      <family val="2"/>
    </font>
    <font>
      <sz val="10"/>
      <color rgb="FF002060"/>
      <name val="Arial"/>
      <family val="2"/>
    </font>
    <font>
      <sz val="10"/>
      <color theme="0"/>
      <name val="Arial"/>
      <family val="2"/>
      <scheme val="maj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AEEEA"/>
        <bgColor indexed="64"/>
      </patternFill>
    </fill>
    <fill>
      <patternFill patternType="solid">
        <fgColor rgb="FFF1FCBA"/>
        <bgColor indexed="64"/>
      </patternFill>
    </fill>
    <fill>
      <patternFill patternType="solid">
        <fgColor rgb="FFF8E4F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AA84F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medium">
        <color indexed="64"/>
      </left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thin">
        <color theme="6" tint="0.79998168889431442"/>
      </left>
      <right/>
      <top/>
      <bottom style="medium">
        <color indexed="64"/>
      </bottom>
      <diagonal/>
    </border>
    <border>
      <left/>
      <right style="thin">
        <color theme="6" tint="0.79998168889431442"/>
      </right>
      <top/>
      <bottom/>
      <diagonal/>
    </border>
    <border>
      <left style="thin">
        <color theme="6" tint="0.79998168889431442"/>
      </left>
      <right style="thin">
        <color theme="6" tint="0.79998168889431442"/>
      </right>
      <top/>
      <bottom/>
      <diagonal/>
    </border>
    <border>
      <left style="thin">
        <color theme="6" tint="0.79998168889431442"/>
      </left>
      <right/>
      <top style="thin">
        <color theme="6" tint="0.79998168889431442"/>
      </top>
      <bottom style="medium">
        <color indexed="64"/>
      </bottom>
      <diagonal/>
    </border>
    <border>
      <left/>
      <right/>
      <top style="thin">
        <color theme="6" tint="0.79998168889431442"/>
      </top>
      <bottom style="medium">
        <color indexed="64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1"/>
  </cellStyleXfs>
  <cellXfs count="2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8" fillId="0" borderId="0" xfId="0" applyFont="1"/>
    <xf numFmtId="0" fontId="3" fillId="0" borderId="1" xfId="0" applyFont="1" applyBorder="1"/>
    <xf numFmtId="0" fontId="12" fillId="0" borderId="0" xfId="0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left" vertical="center" wrapText="1" indent="1"/>
    </xf>
    <xf numFmtId="0" fontId="19" fillId="0" borderId="10" xfId="0" applyFont="1" applyBorder="1" applyAlignment="1">
      <alignment horizontal="center"/>
    </xf>
    <xf numFmtId="0" fontId="0" fillId="0" borderId="1" xfId="0" applyBorder="1"/>
    <xf numFmtId="0" fontId="21" fillId="7" borderId="6" xfId="0" applyFont="1" applyFill="1" applyBorder="1" applyAlignment="1">
      <alignment horizontal="left" vertical="center" wrapText="1" indent="1"/>
    </xf>
    <xf numFmtId="0" fontId="21" fillId="7" borderId="9" xfId="0" applyFont="1" applyFill="1" applyBorder="1" applyAlignment="1">
      <alignment horizontal="left" vertical="center" wrapText="1" indent="1"/>
    </xf>
    <xf numFmtId="0" fontId="21" fillId="7" borderId="8" xfId="0" applyFont="1" applyFill="1" applyBorder="1" applyAlignment="1">
      <alignment horizontal="left" vertical="center" wrapText="1" indent="1"/>
    </xf>
    <xf numFmtId="0" fontId="20" fillId="26" borderId="1" xfId="0" applyFont="1" applyFill="1" applyBorder="1" applyAlignment="1">
      <alignment horizontal="left" vertical="center" wrapText="1" indent="1"/>
    </xf>
    <xf numFmtId="0" fontId="20" fillId="25" borderId="1" xfId="0" applyFont="1" applyFill="1" applyBorder="1" applyAlignment="1">
      <alignment horizontal="left" vertical="center" wrapText="1" indent="1"/>
    </xf>
    <xf numFmtId="0" fontId="20" fillId="7" borderId="11" xfId="0" applyFont="1" applyFill="1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/>
    </xf>
    <xf numFmtId="0" fontId="0" fillId="0" borderId="0" xfId="0" applyFill="1"/>
    <xf numFmtId="0" fontId="0" fillId="0" borderId="5" xfId="0" applyFill="1" applyBorder="1"/>
    <xf numFmtId="0" fontId="0" fillId="0" borderId="1" xfId="0" applyFill="1" applyBorder="1"/>
    <xf numFmtId="0" fontId="17" fillId="0" borderId="10" xfId="0" applyFont="1" applyBorder="1" applyAlignment="1">
      <alignment horizontal="center" vertical="center"/>
    </xf>
    <xf numFmtId="0" fontId="18" fillId="27" borderId="3" xfId="0" applyFont="1" applyFill="1" applyBorder="1" applyAlignment="1">
      <alignment horizontal="left" vertical="center" wrapText="1" indent="1"/>
    </xf>
    <xf numFmtId="0" fontId="18" fillId="7" borderId="5" xfId="0" applyFont="1" applyFill="1" applyBorder="1" applyAlignment="1">
      <alignment horizontal="left" vertical="center" wrapText="1" indent="1"/>
    </xf>
    <xf numFmtId="0" fontId="18" fillId="7" borderId="4" xfId="0" applyFont="1" applyFill="1" applyBorder="1" applyAlignment="1">
      <alignment horizontal="left" vertical="center" wrapText="1" indent="1"/>
    </xf>
    <xf numFmtId="0" fontId="18" fillId="7" borderId="7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16" fillId="11" borderId="1" xfId="0" applyFont="1" applyFill="1" applyBorder="1"/>
    <xf numFmtId="0" fontId="16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11" borderId="1" xfId="0" applyFont="1" applyFill="1" applyBorder="1"/>
    <xf numFmtId="0" fontId="3" fillId="0" borderId="1" xfId="0" applyFont="1" applyFill="1" applyBorder="1" applyAlignment="1">
      <alignment horizontal="right"/>
    </xf>
    <xf numFmtId="0" fontId="1" fillId="5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4" fillId="10" borderId="16" xfId="0" applyFont="1" applyFill="1" applyBorder="1"/>
    <xf numFmtId="0" fontId="14" fillId="10" borderId="1" xfId="0" applyFont="1" applyFill="1" applyBorder="1"/>
    <xf numFmtId="0" fontId="15" fillId="10" borderId="1" xfId="0" applyFont="1" applyFill="1" applyBorder="1"/>
    <xf numFmtId="0" fontId="14" fillId="10" borderId="17" xfId="0" applyFont="1" applyFill="1" applyBorder="1"/>
    <xf numFmtId="0" fontId="7" fillId="7" borderId="16" xfId="0" applyFont="1" applyFill="1" applyBorder="1"/>
    <xf numFmtId="0" fontId="9" fillId="20" borderId="1" xfId="0" applyFont="1" applyFill="1" applyBorder="1"/>
    <xf numFmtId="0" fontId="7" fillId="20" borderId="1" xfId="0" applyFont="1" applyFill="1" applyBorder="1"/>
    <xf numFmtId="0" fontId="9" fillId="20" borderId="17" xfId="0" applyFont="1" applyFill="1" applyBorder="1"/>
    <xf numFmtId="0" fontId="17" fillId="0" borderId="16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17" xfId="0" applyFont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7" xfId="0" applyFont="1" applyFill="1" applyBorder="1" applyAlignment="1">
      <alignment horizontal="center"/>
    </xf>
    <xf numFmtId="0" fontId="14" fillId="14" borderId="16" xfId="0" applyFont="1" applyFill="1" applyBorder="1"/>
    <xf numFmtId="0" fontId="14" fillId="14" borderId="1" xfId="0" applyFont="1" applyFill="1" applyBorder="1"/>
    <xf numFmtId="0" fontId="14" fillId="14" borderId="17" xfId="0" applyFont="1" applyFill="1" applyBorder="1" applyAlignment="1">
      <alignment horizontal="center"/>
    </xf>
    <xf numFmtId="0" fontId="0" fillId="7" borderId="16" xfId="0" applyFill="1" applyBorder="1"/>
    <xf numFmtId="0" fontId="9" fillId="9" borderId="1" xfId="0" applyFont="1" applyFill="1" applyBorder="1"/>
    <xf numFmtId="0" fontId="7" fillId="9" borderId="1" xfId="0" applyFont="1" applyFill="1" applyBorder="1"/>
    <xf numFmtId="0" fontId="9" fillId="9" borderId="17" xfId="0" applyFont="1" applyFill="1" applyBorder="1" applyAlignment="1">
      <alignment horizontal="center"/>
    </xf>
    <xf numFmtId="0" fontId="19" fillId="0" borderId="1" xfId="0" applyFont="1" applyBorder="1"/>
    <xf numFmtId="0" fontId="1" fillId="15" borderId="16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14" fillId="6" borderId="16" xfId="0" applyFont="1" applyFill="1" applyBorder="1"/>
    <xf numFmtId="0" fontId="14" fillId="6" borderId="1" xfId="0" applyFont="1" applyFill="1" applyBorder="1"/>
    <xf numFmtId="0" fontId="14" fillId="6" borderId="1" xfId="0" applyFont="1" applyFill="1" applyBorder="1" applyAlignment="1">
      <alignment wrapText="1"/>
    </xf>
    <xf numFmtId="0" fontId="14" fillId="6" borderId="17" xfId="0" applyFont="1" applyFill="1" applyBorder="1" applyAlignment="1">
      <alignment horizontal="center"/>
    </xf>
    <xf numFmtId="0" fontId="9" fillId="16" borderId="1" xfId="0" applyFont="1" applyFill="1" applyBorder="1"/>
    <xf numFmtId="0" fontId="7" fillId="16" borderId="1" xfId="0" applyFont="1" applyFill="1" applyBorder="1"/>
    <xf numFmtId="0" fontId="9" fillId="16" borderId="17" xfId="0" applyFont="1" applyFill="1" applyBorder="1" applyAlignment="1">
      <alignment horizontal="center"/>
    </xf>
    <xf numFmtId="0" fontId="17" fillId="0" borderId="18" xfId="0" applyFont="1" applyBorder="1"/>
    <xf numFmtId="0" fontId="19" fillId="0" borderId="19" xfId="0" applyFont="1" applyBorder="1"/>
    <xf numFmtId="0" fontId="17" fillId="0" borderId="20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1" fillId="17" borderId="16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14" fillId="18" borderId="16" xfId="0" applyFont="1" applyFill="1" applyBorder="1" applyAlignment="1">
      <alignment vertical="center"/>
    </xf>
    <xf numFmtId="0" fontId="14" fillId="18" borderId="1" xfId="0" applyFont="1" applyFill="1" applyBorder="1" applyAlignment="1">
      <alignment vertical="center"/>
    </xf>
    <xf numFmtId="0" fontId="14" fillId="18" borderId="1" xfId="0" applyFont="1" applyFill="1" applyBorder="1" applyAlignment="1">
      <alignment vertical="center" wrapText="1"/>
    </xf>
    <xf numFmtId="0" fontId="14" fillId="18" borderId="1" xfId="0" applyFont="1" applyFill="1" applyBorder="1"/>
    <xf numFmtId="0" fontId="14" fillId="18" borderId="17" xfId="0" applyFont="1" applyFill="1" applyBorder="1" applyAlignment="1">
      <alignment horizontal="center" vertical="center"/>
    </xf>
    <xf numFmtId="0" fontId="9" fillId="19" borderId="1" xfId="0" applyFont="1" applyFill="1" applyBorder="1"/>
    <xf numFmtId="0" fontId="7" fillId="19" borderId="1" xfId="0" applyFont="1" applyFill="1" applyBorder="1"/>
    <xf numFmtId="0" fontId="9" fillId="19" borderId="17" xfId="0" applyFont="1" applyFill="1" applyBorder="1" applyAlignment="1">
      <alignment horizontal="center"/>
    </xf>
    <xf numFmtId="0" fontId="1" fillId="21" borderId="16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17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left" vertical="center" wrapText="1" indent="1"/>
    </xf>
    <xf numFmtId="0" fontId="20" fillId="22" borderId="1" xfId="0" applyFont="1" applyFill="1" applyBorder="1" applyAlignment="1">
      <alignment horizontal="left" vertical="center" wrapText="1" indent="1"/>
    </xf>
    <xf numFmtId="0" fontId="20" fillId="22" borderId="17" xfId="0" applyFont="1" applyFill="1" applyBorder="1" applyAlignment="1">
      <alignment horizontal="left" vertical="center" wrapText="1" indent="1"/>
    </xf>
    <xf numFmtId="0" fontId="9" fillId="23" borderId="1" xfId="0" applyFont="1" applyFill="1" applyBorder="1"/>
    <xf numFmtId="0" fontId="7" fillId="23" borderId="1" xfId="0" applyFont="1" applyFill="1" applyBorder="1"/>
    <xf numFmtId="0" fontId="9" fillId="23" borderId="17" xfId="0" applyFont="1" applyFill="1" applyBorder="1" applyAlignment="1">
      <alignment horizontal="center"/>
    </xf>
    <xf numFmtId="0" fontId="18" fillId="0" borderId="16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0" fontId="18" fillId="0" borderId="17" xfId="0" applyFont="1" applyBorder="1" applyAlignment="1">
      <alignment horizontal="center"/>
    </xf>
    <xf numFmtId="0" fontId="1" fillId="28" borderId="16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8" borderId="17" xfId="0" applyFont="1" applyFill="1" applyBorder="1" applyAlignment="1">
      <alignment horizontal="center"/>
    </xf>
    <xf numFmtId="0" fontId="20" fillId="29" borderId="16" xfId="0" applyFont="1" applyFill="1" applyBorder="1" applyAlignment="1">
      <alignment horizontal="left" vertical="center" wrapText="1" indent="1"/>
    </xf>
    <xf numFmtId="0" fontId="20" fillId="29" borderId="1" xfId="0" applyFont="1" applyFill="1" applyBorder="1" applyAlignment="1">
      <alignment horizontal="left" vertical="center" wrapText="1" indent="1"/>
    </xf>
    <xf numFmtId="0" fontId="20" fillId="29" borderId="17" xfId="0" applyFont="1" applyFill="1" applyBorder="1" applyAlignment="1">
      <alignment horizontal="left" vertical="center" wrapText="1" indent="1"/>
    </xf>
    <xf numFmtId="0" fontId="9" fillId="30" borderId="1" xfId="0" applyFont="1" applyFill="1" applyBorder="1"/>
    <xf numFmtId="0" fontId="7" fillId="30" borderId="1" xfId="0" applyFont="1" applyFill="1" applyBorder="1"/>
    <xf numFmtId="0" fontId="9" fillId="30" borderId="17" xfId="0" applyFont="1" applyFill="1" applyBorder="1" applyAlignment="1">
      <alignment horizontal="center"/>
    </xf>
    <xf numFmtId="0" fontId="18" fillId="27" borderId="21" xfId="0" applyFont="1" applyFill="1" applyBorder="1" applyAlignment="1">
      <alignment horizontal="left" vertical="center" wrapText="1" indent="1"/>
    </xf>
    <xf numFmtId="0" fontId="23" fillId="0" borderId="17" xfId="0" applyFont="1" applyBorder="1" applyAlignment="1">
      <alignment horizontal="center" vertical="center"/>
    </xf>
    <xf numFmtId="0" fontId="18" fillId="27" borderId="22" xfId="0" applyFont="1" applyFill="1" applyBorder="1" applyAlignment="1">
      <alignment horizontal="left" vertical="center" wrapText="1" indent="1"/>
    </xf>
    <xf numFmtId="0" fontId="18" fillId="27" borderId="23" xfId="0" applyFont="1" applyFill="1" applyBorder="1" applyAlignment="1">
      <alignment horizontal="left" vertical="center" wrapText="1" indent="1"/>
    </xf>
    <xf numFmtId="0" fontId="17" fillId="0" borderId="24" xfId="0" applyFont="1" applyBorder="1" applyAlignment="1">
      <alignment horizontal="center" vertical="center"/>
    </xf>
    <xf numFmtId="0" fontId="0" fillId="0" borderId="19" xfId="0" applyBorder="1"/>
    <xf numFmtId="0" fontId="23" fillId="0" borderId="20" xfId="0" applyFont="1" applyBorder="1" applyAlignment="1">
      <alignment horizontal="center" vertical="center"/>
    </xf>
    <xf numFmtId="0" fontId="18" fillId="27" borderId="25" xfId="0" applyFont="1" applyFill="1" applyBorder="1" applyAlignment="1">
      <alignment horizontal="left" vertical="center" wrapText="1" indent="1"/>
    </xf>
    <xf numFmtId="0" fontId="18" fillId="27" borderId="26" xfId="0" applyFont="1" applyFill="1" applyBorder="1" applyAlignment="1">
      <alignment horizontal="left" vertical="center" wrapText="1" indent="1"/>
    </xf>
    <xf numFmtId="0" fontId="1" fillId="4" borderId="1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20" fillId="26" borderId="16" xfId="0" applyFont="1" applyFill="1" applyBorder="1" applyAlignment="1">
      <alignment horizontal="left" vertical="center" wrapText="1" indent="1"/>
    </xf>
    <xf numFmtId="0" fontId="20" fillId="26" borderId="17" xfId="0" applyFont="1" applyFill="1" applyBorder="1" applyAlignment="1">
      <alignment horizontal="left" vertical="center" wrapText="1" indent="1"/>
    </xf>
    <xf numFmtId="0" fontId="9" fillId="31" borderId="1" xfId="0" applyFont="1" applyFill="1" applyBorder="1"/>
    <xf numFmtId="0" fontId="7" fillId="31" borderId="1" xfId="0" applyFont="1" applyFill="1" applyBorder="1"/>
    <xf numFmtId="0" fontId="9" fillId="31" borderId="17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left" vertical="center" wrapText="1" indent="1"/>
    </xf>
    <xf numFmtId="0" fontId="23" fillId="0" borderId="17" xfId="0" applyFont="1" applyBorder="1" applyAlignment="1">
      <alignment horizontal="center"/>
    </xf>
    <xf numFmtId="0" fontId="1" fillId="24" borderId="16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20" fillId="25" borderId="16" xfId="0" applyFont="1" applyFill="1" applyBorder="1" applyAlignment="1">
      <alignment horizontal="left" vertical="center" wrapText="1" indent="1"/>
    </xf>
    <xf numFmtId="0" fontId="20" fillId="25" borderId="17" xfId="0" applyFont="1" applyFill="1" applyBorder="1" applyAlignment="1">
      <alignment horizontal="left" vertical="center" wrapText="1" indent="1"/>
    </xf>
    <xf numFmtId="0" fontId="14" fillId="32" borderId="1" xfId="0" applyFont="1" applyFill="1" applyBorder="1"/>
    <xf numFmtId="0" fontId="25" fillId="32" borderId="1" xfId="0" applyFont="1" applyFill="1" applyBorder="1"/>
    <xf numFmtId="0" fontId="14" fillId="32" borderId="17" xfId="0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18" fillId="7" borderId="22" xfId="0" applyFont="1" applyFill="1" applyBorder="1" applyAlignment="1">
      <alignment horizontal="left" vertical="center" wrapText="1" indent="1"/>
    </xf>
    <xf numFmtId="0" fontId="18" fillId="7" borderId="27" xfId="0" applyFont="1" applyFill="1" applyBorder="1" applyAlignment="1">
      <alignment horizontal="left" vertical="center" wrapText="1" indent="1"/>
    </xf>
    <xf numFmtId="0" fontId="18" fillId="7" borderId="28" xfId="0" applyFont="1" applyFill="1" applyBorder="1" applyAlignment="1">
      <alignment horizontal="left" vertical="center" wrapText="1" indent="1"/>
    </xf>
    <xf numFmtId="0" fontId="18" fillId="7" borderId="29" xfId="0" applyFont="1" applyFill="1" applyBorder="1" applyAlignment="1">
      <alignment horizontal="left" vertical="center" wrapText="1" indent="1"/>
    </xf>
    <xf numFmtId="0" fontId="24" fillId="0" borderId="20" xfId="0" applyFont="1" applyBorder="1" applyAlignment="1">
      <alignment horizontal="center"/>
    </xf>
    <xf numFmtId="0" fontId="27" fillId="33" borderId="30" xfId="0" applyFont="1" applyFill="1" applyBorder="1" applyAlignment="1">
      <alignment horizontal="center" vertical="center" wrapText="1"/>
    </xf>
    <xf numFmtId="0" fontId="27" fillId="33" borderId="31" xfId="0" applyFont="1" applyFill="1" applyBorder="1" applyAlignment="1">
      <alignment horizontal="center" vertical="center" wrapText="1"/>
    </xf>
    <xf numFmtId="0" fontId="27" fillId="33" borderId="32" xfId="0" applyFont="1" applyFill="1" applyBorder="1" applyAlignment="1">
      <alignment horizontal="center" vertical="center" wrapText="1"/>
    </xf>
    <xf numFmtId="0" fontId="28" fillId="33" borderId="30" xfId="0" applyFont="1" applyFill="1" applyBorder="1" applyAlignment="1">
      <alignment horizontal="center"/>
    </xf>
    <xf numFmtId="0" fontId="28" fillId="33" borderId="31" xfId="0" applyFont="1" applyFill="1" applyBorder="1" applyAlignment="1">
      <alignment horizontal="center"/>
    </xf>
    <xf numFmtId="0" fontId="28" fillId="33" borderId="32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4" fillId="18" borderId="16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20" fillId="7" borderId="33" xfId="0" applyFont="1" applyFill="1" applyBorder="1" applyAlignment="1">
      <alignment horizontal="left" vertical="center" wrapText="1"/>
    </xf>
    <xf numFmtId="0" fontId="20" fillId="22" borderId="16" xfId="0" applyFont="1" applyFill="1" applyBorder="1" applyAlignment="1">
      <alignment horizontal="left" vertical="center" wrapText="1"/>
    </xf>
    <xf numFmtId="0" fontId="20" fillId="29" borderId="16" xfId="0" applyFont="1" applyFill="1" applyBorder="1" applyAlignment="1">
      <alignment horizontal="left" vertical="center" wrapText="1"/>
    </xf>
    <xf numFmtId="0" fontId="20" fillId="26" borderId="16" xfId="0" applyFont="1" applyFill="1" applyBorder="1" applyAlignment="1">
      <alignment horizontal="left" vertical="center" wrapText="1"/>
    </xf>
    <xf numFmtId="0" fontId="20" fillId="25" borderId="16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18" borderId="16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20" fillId="22" borderId="16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0" fillId="29" borderId="16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center" vertical="center" wrapText="1"/>
    </xf>
    <xf numFmtId="0" fontId="20" fillId="26" borderId="16" xfId="0" applyFont="1" applyFill="1" applyBorder="1" applyAlignment="1">
      <alignment horizontal="center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20" fillId="25" borderId="16" xfId="0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0" fillId="0" borderId="2" xfId="0" applyBorder="1"/>
    <xf numFmtId="0" fontId="3" fillId="0" borderId="2" xfId="0" applyFont="1" applyBorder="1"/>
    <xf numFmtId="0" fontId="3" fillId="2" borderId="2" xfId="0" applyFont="1" applyFill="1" applyBorder="1" applyAlignment="1">
      <alignment horizontal="right"/>
    </xf>
    <xf numFmtId="164" fontId="3" fillId="0" borderId="2" xfId="0" applyNumberFormat="1" applyFont="1" applyBorder="1"/>
    <xf numFmtId="0" fontId="29" fillId="33" borderId="14" xfId="0" applyFont="1" applyFill="1" applyBorder="1" applyAlignment="1">
      <alignment horizontal="center"/>
    </xf>
    <xf numFmtId="0" fontId="29" fillId="33" borderId="15" xfId="0" applyFont="1" applyFill="1" applyBorder="1" applyAlignment="1">
      <alignment horizontal="center"/>
    </xf>
    <xf numFmtId="0" fontId="3" fillId="36" borderId="1" xfId="0" applyFont="1" applyFill="1" applyBorder="1"/>
    <xf numFmtId="0" fontId="3" fillId="36" borderId="17" xfId="0" applyFont="1" applyFill="1" applyBorder="1"/>
    <xf numFmtId="0" fontId="14" fillId="10" borderId="16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/>
    </xf>
    <xf numFmtId="0" fontId="3" fillId="0" borderId="17" xfId="0" applyFont="1" applyBorder="1" applyAlignment="1">
      <alignment horizontal="right"/>
    </xf>
    <xf numFmtId="0" fontId="2" fillId="0" borderId="1" xfId="0" applyFont="1" applyBorder="1"/>
    <xf numFmtId="0" fontId="14" fillId="14" borderId="1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 vertical="center"/>
    </xf>
    <xf numFmtId="0" fontId="9" fillId="11" borderId="19" xfId="0" applyFont="1" applyFill="1" applyBorder="1"/>
    <xf numFmtId="0" fontId="26" fillId="35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8" fillId="37" borderId="1" xfId="0" applyFont="1" applyFill="1" applyBorder="1" applyAlignment="1">
      <alignment horizontal="center"/>
    </xf>
    <xf numFmtId="0" fontId="20" fillId="29" borderId="18" xfId="0" applyFont="1" applyFill="1" applyBorder="1" applyAlignment="1">
      <alignment horizontal="center" vertical="center" wrapText="1"/>
    </xf>
    <xf numFmtId="0" fontId="8" fillId="37" borderId="19" xfId="0" applyFont="1" applyFill="1" applyBorder="1" applyAlignment="1">
      <alignment horizontal="center"/>
    </xf>
    <xf numFmtId="0" fontId="20" fillId="25" borderId="18" xfId="0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2" borderId="35" xfId="0" applyFont="1" applyFill="1" applyBorder="1" applyAlignment="1">
      <alignment horizontal="right"/>
    </xf>
    <xf numFmtId="0" fontId="3" fillId="12" borderId="35" xfId="0" applyFont="1" applyFill="1" applyBorder="1" applyAlignment="1">
      <alignment horizontal="right"/>
    </xf>
    <xf numFmtId="0" fontId="0" fillId="0" borderId="35" xfId="0" applyBorder="1"/>
    <xf numFmtId="0" fontId="3" fillId="2" borderId="36" xfId="0" applyFont="1" applyFill="1" applyBorder="1" applyAlignment="1">
      <alignment horizontal="right"/>
    </xf>
    <xf numFmtId="0" fontId="28" fillId="7" borderId="12" xfId="0" applyFont="1" applyFill="1" applyBorder="1" applyAlignment="1">
      <alignment horizontal="center"/>
    </xf>
    <xf numFmtId="0" fontId="1" fillId="0" borderId="34" xfId="0" applyFont="1" applyBorder="1"/>
    <xf numFmtId="0" fontId="1" fillId="2" borderId="35" xfId="0" applyFont="1" applyFill="1" applyBorder="1" applyAlignment="1">
      <alignment horizontal="right"/>
    </xf>
    <xf numFmtId="0" fontId="30" fillId="0" borderId="35" xfId="0" applyFont="1" applyBorder="1"/>
    <xf numFmtId="0" fontId="1" fillId="2" borderId="36" xfId="0" applyFont="1" applyFill="1" applyBorder="1" applyAlignment="1">
      <alignment horizontal="right"/>
    </xf>
    <xf numFmtId="0" fontId="13" fillId="38" borderId="13" xfId="0" applyFont="1" applyFill="1" applyBorder="1" applyAlignment="1">
      <alignment horizontal="center" vertical="center"/>
    </xf>
    <xf numFmtId="0" fontId="13" fillId="38" borderId="14" xfId="0" applyFont="1" applyFill="1" applyBorder="1" applyAlignment="1">
      <alignment horizontal="center" vertical="center"/>
    </xf>
    <xf numFmtId="0" fontId="13" fillId="38" borderId="16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23" fillId="37" borderId="1" xfId="0" applyFont="1" applyFill="1" applyBorder="1" applyAlignment="1">
      <alignment horizontal="center" vertical="center"/>
    </xf>
    <xf numFmtId="0" fontId="23" fillId="37" borderId="19" xfId="0" applyFont="1" applyFill="1" applyBorder="1" applyAlignment="1">
      <alignment horizontal="center" vertical="center"/>
    </xf>
    <xf numFmtId="0" fontId="23" fillId="37" borderId="1" xfId="0" applyFont="1" applyFill="1" applyBorder="1" applyAlignment="1">
      <alignment horizontal="center"/>
    </xf>
    <xf numFmtId="0" fontId="18" fillId="37" borderId="1" xfId="0" applyFont="1" applyFill="1" applyBorder="1" applyAlignment="1">
      <alignment horizontal="center"/>
    </xf>
    <xf numFmtId="0" fontId="17" fillId="37" borderId="1" xfId="0" applyFont="1" applyFill="1" applyBorder="1" applyAlignment="1">
      <alignment horizontal="center"/>
    </xf>
    <xf numFmtId="0" fontId="14" fillId="10" borderId="16" xfId="0" applyFont="1" applyFill="1" applyBorder="1" applyAlignment="1">
      <alignment horizontal="left" vertical="center"/>
    </xf>
    <xf numFmtId="0" fontId="14" fillId="14" borderId="16" xfId="0" applyFont="1" applyFill="1" applyBorder="1" applyAlignment="1">
      <alignment horizontal="left" vertical="center"/>
    </xf>
    <xf numFmtId="0" fontId="14" fillId="6" borderId="16" xfId="0" applyFont="1" applyFill="1" applyBorder="1" applyAlignment="1">
      <alignment horizontal="left" vertical="center"/>
    </xf>
    <xf numFmtId="0" fontId="5" fillId="27" borderId="2" xfId="0" applyFont="1" applyFill="1" applyBorder="1" applyAlignment="1">
      <alignment horizontal="left" vertical="center"/>
    </xf>
    <xf numFmtId="0" fontId="29" fillId="33" borderId="2" xfId="0" applyFont="1" applyFill="1" applyBorder="1" applyAlignment="1">
      <alignment horizontal="center" vertical="center"/>
    </xf>
    <xf numFmtId="0" fontId="29" fillId="33" borderId="1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7" fillId="0" borderId="19" xfId="0" applyFont="1" applyBorder="1" applyAlignment="1">
      <alignment horizontal="left"/>
    </xf>
    <xf numFmtId="0" fontId="20" fillId="25" borderId="19" xfId="0" applyFont="1" applyFill="1" applyBorder="1" applyAlignment="1">
      <alignment horizontal="center" vertical="center" wrapText="1"/>
    </xf>
    <xf numFmtId="0" fontId="20" fillId="29" borderId="19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003300"/>
      <color rgb="FFF8E4F8"/>
      <color rgb="FFF1FCBA"/>
      <color rgb="FFDAEEEA"/>
      <color rgb="FF66FFFF"/>
      <color rgb="FF00FFFF"/>
      <color rgb="FF33CCCC"/>
      <color rgb="FFFFFFCC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1243463195249288E-2"/>
          <c:y val="6.1966382648303946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BURDONCHART!$B$94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BURDONCHART!$C$94:$S$94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-5</c:v>
                </c:pt>
                <c:pt idx="3">
                  <c:v>-9</c:v>
                </c:pt>
                <c:pt idx="4">
                  <c:v>-9</c:v>
                </c:pt>
                <c:pt idx="5">
                  <c:v>-9</c:v>
                </c:pt>
                <c:pt idx="6">
                  <c:v>-10</c:v>
                </c:pt>
                <c:pt idx="7">
                  <c:v>-14</c:v>
                </c:pt>
                <c:pt idx="8">
                  <c:v>-18</c:v>
                </c:pt>
                <c:pt idx="9">
                  <c:v>-22</c:v>
                </c:pt>
                <c:pt idx="10">
                  <c:v>-26</c:v>
                </c:pt>
                <c:pt idx="11">
                  <c:v>-31</c:v>
                </c:pt>
                <c:pt idx="12">
                  <c:v>-33</c:v>
                </c:pt>
                <c:pt idx="13">
                  <c:v>-37</c:v>
                </c:pt>
                <c:pt idx="14">
                  <c:v>-39</c:v>
                </c:pt>
                <c:pt idx="15">
                  <c:v>-41</c:v>
                </c:pt>
                <c:pt idx="16">
                  <c:v>-45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BURDONCHART!$B$95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BURDONCHART!$C$95:$S$95</c:f>
              <c:numCache>
                <c:formatCode>0.0</c:formatCode>
                <c:ptCount val="1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97</xdr:row>
      <xdr:rowOff>26444</xdr:rowOff>
    </xdr:from>
    <xdr:to>
      <xdr:col>16</xdr:col>
      <xdr:colOff>732081</xdr:colOff>
      <xdr:row>109</xdr:row>
      <xdr:rowOff>10886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T4:T6" headerRowCount="0" totalsRowShown="0">
  <tableColumns count="1">
    <tableColumn id="1" xr3:uid="{00000000-0010-0000-0000-000001000000}" name="Column1" totalsRowDxfId="1">
      <calculatedColumnFormula>SUM(D4:S4)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T8:T10" headerRowCount="0" totalsRowShown="0">
  <tableColumns count="1">
    <tableColumn id="1" xr3:uid="{00000000-0010-0000-0100-000001000000}" name="Column1" totalsRowDxfId="0">
      <calculatedColumnFormula>SUM(D8:S8)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zoomScale="70" zoomScaleNormal="70" workbookViewId="0">
      <selection activeCell="C24" sqref="C24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23.33203125" customWidth="1"/>
    <col min="4" max="4" width="58.21875" customWidth="1"/>
    <col min="5" max="5" width="61.21875" customWidth="1"/>
    <col min="6" max="6" width="10.6640625" customWidth="1"/>
    <col min="7" max="7" width="12.44140625" customWidth="1"/>
    <col min="8" max="8" width="14.88671875" customWidth="1"/>
    <col min="9" max="26" width="12.44140625" customWidth="1"/>
  </cols>
  <sheetData>
    <row r="1" spans="1:8" s="3" customFormat="1" ht="15.75" customHeight="1" x14ac:dyDescent="0.25">
      <c r="A1" s="223" t="s">
        <v>0</v>
      </c>
      <c r="B1" s="223" t="s">
        <v>1</v>
      </c>
      <c r="C1" s="223" t="s">
        <v>2</v>
      </c>
      <c r="D1" s="223" t="s">
        <v>3</v>
      </c>
      <c r="E1" s="223" t="s">
        <v>4</v>
      </c>
      <c r="F1" s="223" t="s">
        <v>5</v>
      </c>
      <c r="G1" s="223" t="s">
        <v>6</v>
      </c>
      <c r="H1" s="223" t="s">
        <v>7</v>
      </c>
    </row>
    <row r="2" spans="1:8" s="4" customFormat="1" ht="15.75" customHeight="1" x14ac:dyDescent="0.25">
      <c r="A2" s="224" t="s">
        <v>21</v>
      </c>
      <c r="B2" s="224"/>
      <c r="C2" s="224"/>
      <c r="D2" s="224"/>
      <c r="E2" s="224"/>
      <c r="F2" s="224"/>
      <c r="G2" s="224"/>
      <c r="H2" s="224"/>
    </row>
    <row r="3" spans="1:8" ht="15.75" customHeight="1" x14ac:dyDescent="0.25">
      <c r="A3" s="220" t="s">
        <v>41</v>
      </c>
      <c r="B3" s="153" t="s">
        <v>81</v>
      </c>
      <c r="C3" s="153" t="s">
        <v>20</v>
      </c>
      <c r="D3" s="153" t="s">
        <v>42</v>
      </c>
      <c r="E3" s="153" t="s">
        <v>43</v>
      </c>
      <c r="F3" s="154"/>
      <c r="G3" s="153" t="s">
        <v>8</v>
      </c>
      <c r="H3" s="153" t="s">
        <v>136</v>
      </c>
    </row>
    <row r="4" spans="1:8" ht="15.75" customHeight="1" x14ac:dyDescent="0.25">
      <c r="A4" s="221" t="s">
        <v>45</v>
      </c>
      <c r="B4" s="153" t="s">
        <v>46</v>
      </c>
      <c r="C4" s="153" t="s">
        <v>20</v>
      </c>
      <c r="D4" s="153" t="s">
        <v>47</v>
      </c>
      <c r="E4" s="153" t="s">
        <v>141</v>
      </c>
      <c r="F4" s="153"/>
      <c r="G4" s="153" t="s">
        <v>8</v>
      </c>
      <c r="H4" s="153" t="s">
        <v>136</v>
      </c>
    </row>
    <row r="5" spans="1:8" ht="15.75" customHeight="1" x14ac:dyDescent="0.25">
      <c r="A5" s="222" t="s">
        <v>50</v>
      </c>
      <c r="B5" s="153" t="s">
        <v>82</v>
      </c>
      <c r="C5" s="153" t="s">
        <v>20</v>
      </c>
      <c r="D5" s="153" t="s">
        <v>51</v>
      </c>
      <c r="E5" s="153" t="s">
        <v>142</v>
      </c>
      <c r="F5" s="153"/>
      <c r="G5" s="153" t="s">
        <v>8</v>
      </c>
      <c r="H5" s="153" t="s">
        <v>136</v>
      </c>
    </row>
    <row r="6" spans="1:8" ht="13.2" x14ac:dyDescent="0.25">
      <c r="A6" s="225" t="s">
        <v>44</v>
      </c>
      <c r="B6" s="225"/>
      <c r="C6" s="225"/>
      <c r="D6" s="225"/>
      <c r="E6" s="225"/>
      <c r="F6" s="225"/>
      <c r="G6" s="225"/>
      <c r="H6" s="225"/>
    </row>
    <row r="7" spans="1:8" ht="31.2" customHeight="1" x14ac:dyDescent="0.25">
      <c r="A7" s="155" t="s">
        <v>52</v>
      </c>
      <c r="B7" s="18" t="s">
        <v>119</v>
      </c>
      <c r="C7" s="18" t="s">
        <v>20</v>
      </c>
      <c r="D7" s="18" t="s">
        <v>140</v>
      </c>
      <c r="E7" s="18" t="s">
        <v>144</v>
      </c>
      <c r="F7" s="18"/>
      <c r="G7" s="153" t="s">
        <v>8</v>
      </c>
      <c r="H7" s="153" t="s">
        <v>136</v>
      </c>
    </row>
    <row r="8" spans="1:8" ht="21.6" customHeight="1" x14ac:dyDescent="0.25">
      <c r="A8" s="159" t="s">
        <v>83</v>
      </c>
      <c r="B8" s="156" t="s">
        <v>133</v>
      </c>
      <c r="C8" s="156" t="s">
        <v>20</v>
      </c>
      <c r="D8" s="156" t="s">
        <v>134</v>
      </c>
      <c r="E8" s="156" t="s">
        <v>135</v>
      </c>
      <c r="F8" s="156"/>
      <c r="G8" s="153" t="s">
        <v>8</v>
      </c>
      <c r="H8" s="153" t="s">
        <v>136</v>
      </c>
    </row>
    <row r="9" spans="1:8" ht="33" customHeight="1" x14ac:dyDescent="0.25">
      <c r="A9" s="160" t="s">
        <v>90</v>
      </c>
      <c r="B9" s="153" t="s">
        <v>53</v>
      </c>
      <c r="C9" s="153" t="s">
        <v>20</v>
      </c>
      <c r="D9" s="157" t="s">
        <v>54</v>
      </c>
      <c r="E9" s="157" t="s">
        <v>143</v>
      </c>
      <c r="F9" s="153"/>
      <c r="G9" s="153" t="s">
        <v>8</v>
      </c>
      <c r="H9" s="153" t="s">
        <v>136</v>
      </c>
    </row>
    <row r="10" spans="1:8" s="6" customFormat="1" ht="13.95" customHeight="1" x14ac:dyDescent="0.25">
      <c r="A10" s="224" t="s">
        <v>49</v>
      </c>
      <c r="B10" s="224"/>
      <c r="C10" s="224"/>
      <c r="D10" s="224"/>
      <c r="E10" s="224"/>
      <c r="F10" s="224"/>
      <c r="G10" s="224"/>
      <c r="H10" s="224"/>
    </row>
    <row r="11" spans="1:8" ht="24" customHeight="1" x14ac:dyDescent="0.25">
      <c r="A11" s="161" t="s">
        <v>94</v>
      </c>
      <c r="B11" s="18" t="s">
        <v>95</v>
      </c>
      <c r="C11" s="18" t="s">
        <v>20</v>
      </c>
      <c r="D11" s="18" t="s">
        <v>111</v>
      </c>
      <c r="E11" s="18" t="s">
        <v>112</v>
      </c>
      <c r="F11" s="18"/>
      <c r="G11" s="153" t="s">
        <v>8</v>
      </c>
      <c r="H11" s="153" t="s">
        <v>136</v>
      </c>
    </row>
    <row r="12" spans="1:8" ht="28.2" customHeight="1" x14ac:dyDescent="0.25">
      <c r="A12" s="162" t="s">
        <v>104</v>
      </c>
      <c r="B12" s="18" t="s">
        <v>105</v>
      </c>
      <c r="C12" s="158" t="s">
        <v>20</v>
      </c>
      <c r="D12" s="18" t="s">
        <v>113</v>
      </c>
      <c r="E12" s="18" t="s">
        <v>114</v>
      </c>
      <c r="F12" s="18"/>
      <c r="G12" s="153" t="s">
        <v>8</v>
      </c>
      <c r="H12" s="153" t="s">
        <v>136</v>
      </c>
    </row>
    <row r="13" spans="1:8" ht="15.6" customHeight="1" x14ac:dyDescent="0.25">
      <c r="C13" s="12"/>
    </row>
    <row r="14" spans="1:8" ht="15.75" customHeight="1" x14ac:dyDescent="0.25">
      <c r="C14" s="12"/>
    </row>
    <row r="15" spans="1:8" ht="15.75" customHeight="1" x14ac:dyDescent="0.25">
      <c r="C15" s="12"/>
    </row>
    <row r="16" spans="1:8" ht="15.75" customHeight="1" x14ac:dyDescent="0.25">
      <c r="C16" s="12"/>
    </row>
    <row r="17" spans="3:3" ht="15.75" customHeight="1" x14ac:dyDescent="0.25">
      <c r="C17" s="12"/>
    </row>
    <row r="18" spans="3:3" ht="15.75" customHeight="1" x14ac:dyDescent="0.25">
      <c r="C18" s="12"/>
    </row>
    <row r="19" spans="3:3" ht="15.75" customHeight="1" x14ac:dyDescent="0.25">
      <c r="C19" s="12"/>
    </row>
    <row r="20" spans="3:3" ht="15.75" customHeight="1" x14ac:dyDescent="0.25">
      <c r="C20" s="12"/>
    </row>
    <row r="21" spans="3:3" ht="15.75" customHeight="1" x14ac:dyDescent="0.25">
      <c r="C21" s="12"/>
    </row>
    <row r="22" spans="3:3" ht="15.75" customHeight="1" x14ac:dyDescent="0.25">
      <c r="C22" s="12"/>
    </row>
    <row r="23" spans="3:3" ht="15.75" customHeight="1" x14ac:dyDescent="0.25">
      <c r="C23" s="12"/>
    </row>
    <row r="24" spans="3:3" ht="15.75" customHeight="1" x14ac:dyDescent="0.25">
      <c r="C24" s="12"/>
    </row>
    <row r="25" spans="3:3" ht="15.75" customHeight="1" x14ac:dyDescent="0.25"/>
    <row r="26" spans="3:3" ht="15.75" customHeight="1" x14ac:dyDescent="0.25"/>
    <row r="27" spans="3:3" ht="15.75" customHeight="1" x14ac:dyDescent="0.25"/>
    <row r="28" spans="3:3" ht="15.75" customHeight="1" x14ac:dyDescent="0.25"/>
    <row r="29" spans="3:3" ht="15.75" customHeight="1" x14ac:dyDescent="0.25"/>
    <row r="30" spans="3:3" ht="15.75" customHeight="1" x14ac:dyDescent="0.25"/>
    <row r="31" spans="3:3" ht="15.75" customHeight="1" x14ac:dyDescent="0.25"/>
    <row r="32" spans="3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3">
    <mergeCell ref="A2:H2"/>
    <mergeCell ref="A10:H10"/>
    <mergeCell ref="A6:H6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22"/>
  <sheetViews>
    <sheetView topLeftCell="A25" zoomScale="55" zoomScaleNormal="55" workbookViewId="0">
      <selection activeCell="J10" sqref="J10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61.109375" customWidth="1"/>
    <col min="6" max="6" width="56.33203125" customWidth="1"/>
    <col min="7" max="7" width="13.6640625" customWidth="1"/>
    <col min="8" max="26" width="12.44140625" customWidth="1"/>
  </cols>
  <sheetData>
    <row r="1" spans="1:9" ht="15.75" customHeight="1" thickBot="1" x14ac:dyDescent="0.3">
      <c r="B1" s="78"/>
      <c r="C1" s="79"/>
      <c r="D1" s="79"/>
      <c r="E1" s="79"/>
      <c r="F1" s="79"/>
      <c r="G1" s="79"/>
      <c r="H1" s="79"/>
      <c r="I1" s="53"/>
    </row>
    <row r="2" spans="1:9" ht="15.75" customHeight="1" thickBot="1" x14ac:dyDescent="0.3">
      <c r="B2" s="150" t="s">
        <v>137</v>
      </c>
      <c r="C2" s="151"/>
      <c r="D2" s="151"/>
      <c r="E2" s="151"/>
      <c r="F2" s="151"/>
      <c r="G2" s="151"/>
      <c r="H2" s="151"/>
      <c r="I2" s="152"/>
    </row>
    <row r="3" spans="1:9" ht="15.75" customHeight="1" x14ac:dyDescent="0.25">
      <c r="A3" s="20"/>
      <c r="B3" s="36" t="s">
        <v>9</v>
      </c>
      <c r="C3" s="37" t="s">
        <v>1</v>
      </c>
      <c r="D3" s="37" t="s">
        <v>2</v>
      </c>
      <c r="E3" s="37" t="s">
        <v>10</v>
      </c>
      <c r="F3" s="37" t="s">
        <v>11</v>
      </c>
      <c r="G3" s="37" t="s">
        <v>5</v>
      </c>
      <c r="H3" s="37" t="s">
        <v>12</v>
      </c>
      <c r="I3" s="38" t="s">
        <v>13</v>
      </c>
    </row>
    <row r="4" spans="1:9" s="4" customFormat="1" ht="15.75" customHeight="1" x14ac:dyDescent="0.25">
      <c r="A4" s="28"/>
      <c r="B4" s="39" t="s">
        <v>41</v>
      </c>
      <c r="C4" s="40" t="s">
        <v>81</v>
      </c>
      <c r="D4" s="40" t="s">
        <v>20</v>
      </c>
      <c r="E4" s="40" t="s">
        <v>42</v>
      </c>
      <c r="F4" s="40" t="s">
        <v>43</v>
      </c>
      <c r="G4" s="41"/>
      <c r="H4" s="163" t="s">
        <v>8</v>
      </c>
      <c r="I4" s="42" t="s">
        <v>33</v>
      </c>
    </row>
    <row r="5" spans="1:9" s="4" customFormat="1" ht="15.75" customHeight="1" x14ac:dyDescent="0.25">
      <c r="A5" s="28"/>
      <c r="B5" s="43"/>
      <c r="C5" s="44" t="s">
        <v>14</v>
      </c>
      <c r="D5" s="45"/>
      <c r="E5" s="45"/>
      <c r="F5" s="45"/>
      <c r="G5" s="44" t="s">
        <v>15</v>
      </c>
      <c r="H5" s="163"/>
      <c r="I5" s="46" t="s">
        <v>16</v>
      </c>
    </row>
    <row r="6" spans="1:9" s="4" customFormat="1" ht="15.75" customHeight="1" x14ac:dyDescent="0.25">
      <c r="A6" s="28"/>
      <c r="B6" s="47" t="s">
        <v>37</v>
      </c>
      <c r="C6" s="48" t="s">
        <v>162</v>
      </c>
      <c r="D6" s="48"/>
      <c r="E6" s="48"/>
      <c r="F6" s="48"/>
      <c r="G6" s="49" t="s">
        <v>35</v>
      </c>
      <c r="H6" s="163"/>
      <c r="I6" s="51" t="s">
        <v>75</v>
      </c>
    </row>
    <row r="7" spans="1:9" s="4" customFormat="1" ht="15.75" customHeight="1" x14ac:dyDescent="0.25">
      <c r="A7" s="28"/>
      <c r="B7" s="47" t="s">
        <v>38</v>
      </c>
      <c r="C7" s="48" t="s">
        <v>161</v>
      </c>
      <c r="D7" s="48"/>
      <c r="E7" s="48"/>
      <c r="F7" s="48"/>
      <c r="G7" s="49"/>
      <c r="H7" s="163"/>
      <c r="I7" s="51" t="s">
        <v>74</v>
      </c>
    </row>
    <row r="8" spans="1:9" s="4" customFormat="1" ht="15.75" customHeight="1" x14ac:dyDescent="0.25">
      <c r="A8" s="28"/>
      <c r="B8" s="47" t="s">
        <v>39</v>
      </c>
      <c r="C8" s="48" t="s">
        <v>160</v>
      </c>
      <c r="D8" s="48"/>
      <c r="E8" s="48"/>
      <c r="F8" s="48"/>
      <c r="G8" s="49"/>
      <c r="H8" s="163"/>
      <c r="I8" s="51" t="s">
        <v>74</v>
      </c>
    </row>
    <row r="9" spans="1:9" ht="15.75" customHeight="1" x14ac:dyDescent="0.25">
      <c r="A9" s="20"/>
      <c r="B9" s="47" t="s">
        <v>40</v>
      </c>
      <c r="C9" s="48" t="s">
        <v>159</v>
      </c>
      <c r="D9" s="48"/>
      <c r="E9" s="48"/>
      <c r="F9" s="48"/>
      <c r="G9" s="49"/>
      <c r="H9" s="163"/>
      <c r="I9" s="51" t="s">
        <v>75</v>
      </c>
    </row>
    <row r="10" spans="1:9" ht="15.75" customHeight="1" x14ac:dyDescent="0.25">
      <c r="A10" s="20"/>
      <c r="B10" s="54" t="s">
        <v>9</v>
      </c>
      <c r="C10" s="55" t="s">
        <v>1</v>
      </c>
      <c r="D10" s="55" t="s">
        <v>2</v>
      </c>
      <c r="E10" s="55" t="s">
        <v>10</v>
      </c>
      <c r="F10" s="55" t="s">
        <v>11</v>
      </c>
      <c r="G10" s="55" t="s">
        <v>5</v>
      </c>
      <c r="H10" s="55" t="s">
        <v>12</v>
      </c>
      <c r="I10" s="56" t="s">
        <v>13</v>
      </c>
    </row>
    <row r="11" spans="1:9" ht="15.75" customHeight="1" x14ac:dyDescent="0.25">
      <c r="A11" s="20"/>
      <c r="B11" s="57" t="s">
        <v>45</v>
      </c>
      <c r="C11" s="58" t="s">
        <v>46</v>
      </c>
      <c r="D11" s="58" t="s">
        <v>20</v>
      </c>
      <c r="E11" s="58" t="s">
        <v>47</v>
      </c>
      <c r="F11" s="58" t="s">
        <v>48</v>
      </c>
      <c r="G11" s="58"/>
      <c r="H11" s="164" t="s">
        <v>8</v>
      </c>
      <c r="I11" s="59" t="s">
        <v>33</v>
      </c>
    </row>
    <row r="12" spans="1:9" ht="15.75" customHeight="1" x14ac:dyDescent="0.25">
      <c r="A12" s="20"/>
      <c r="B12" s="60"/>
      <c r="C12" s="61" t="s">
        <v>14</v>
      </c>
      <c r="D12" s="62"/>
      <c r="E12" s="62"/>
      <c r="F12" s="62"/>
      <c r="G12" s="61" t="s">
        <v>15</v>
      </c>
      <c r="H12" s="164"/>
      <c r="I12" s="63" t="s">
        <v>16</v>
      </c>
    </row>
    <row r="13" spans="1:9" ht="15.75" customHeight="1" x14ac:dyDescent="0.25">
      <c r="A13" s="20"/>
      <c r="B13" s="47" t="s">
        <v>61</v>
      </c>
      <c r="C13" s="226" t="s">
        <v>158</v>
      </c>
      <c r="D13" s="226"/>
      <c r="E13" s="226"/>
      <c r="F13" s="226"/>
      <c r="G13" s="49" t="s">
        <v>34</v>
      </c>
      <c r="H13" s="164"/>
      <c r="I13" s="51" t="s">
        <v>76</v>
      </c>
    </row>
    <row r="14" spans="1:9" ht="15.75" customHeight="1" x14ac:dyDescent="0.25">
      <c r="A14" s="20"/>
      <c r="B14" s="47" t="s">
        <v>62</v>
      </c>
      <c r="C14" s="226" t="s">
        <v>157</v>
      </c>
      <c r="D14" s="226"/>
      <c r="E14" s="226"/>
      <c r="F14" s="226"/>
      <c r="G14" s="49"/>
      <c r="H14" s="164"/>
      <c r="I14" s="51" t="s">
        <v>76</v>
      </c>
    </row>
    <row r="15" spans="1:9" ht="15.75" customHeight="1" x14ac:dyDescent="0.25">
      <c r="A15" s="20"/>
      <c r="B15" s="47" t="s">
        <v>63</v>
      </c>
      <c r="C15" s="226" t="s">
        <v>156</v>
      </c>
      <c r="D15" s="226"/>
      <c r="E15" s="226"/>
      <c r="F15" s="226"/>
      <c r="G15" s="49"/>
      <c r="H15" s="164"/>
      <c r="I15" s="51" t="s">
        <v>76</v>
      </c>
    </row>
    <row r="16" spans="1:9" ht="15.75" customHeight="1" x14ac:dyDescent="0.25">
      <c r="A16" s="20"/>
      <c r="B16" s="47" t="s">
        <v>64</v>
      </c>
      <c r="C16" s="226" t="s">
        <v>155</v>
      </c>
      <c r="D16" s="226"/>
      <c r="E16" s="226"/>
      <c r="F16" s="226"/>
      <c r="G16" s="49"/>
      <c r="H16" s="164"/>
      <c r="I16" s="51" t="s">
        <v>76</v>
      </c>
    </row>
    <row r="17" spans="1:9" ht="15.75" customHeight="1" x14ac:dyDescent="0.25">
      <c r="A17" s="20"/>
      <c r="B17" s="47" t="s">
        <v>65</v>
      </c>
      <c r="C17" s="226" t="s">
        <v>154</v>
      </c>
      <c r="D17" s="226"/>
      <c r="E17" s="226"/>
      <c r="F17" s="226"/>
      <c r="G17" s="49"/>
      <c r="H17" s="164"/>
      <c r="I17" s="51" t="s">
        <v>76</v>
      </c>
    </row>
    <row r="18" spans="1:9" ht="13.2" x14ac:dyDescent="0.25">
      <c r="A18" s="20"/>
      <c r="B18" s="65" t="s">
        <v>9</v>
      </c>
      <c r="C18" s="66" t="s">
        <v>1</v>
      </c>
      <c r="D18" s="66" t="s">
        <v>2</v>
      </c>
      <c r="E18" s="66" t="s">
        <v>10</v>
      </c>
      <c r="F18" s="66" t="s">
        <v>11</v>
      </c>
      <c r="G18" s="66" t="s">
        <v>5</v>
      </c>
      <c r="H18" s="66" t="s">
        <v>12</v>
      </c>
      <c r="I18" s="67" t="s">
        <v>13</v>
      </c>
    </row>
    <row r="19" spans="1:9" ht="25.2" customHeight="1" x14ac:dyDescent="0.25">
      <c r="A19" s="20"/>
      <c r="B19" s="68" t="s">
        <v>50</v>
      </c>
      <c r="C19" s="69" t="s">
        <v>82</v>
      </c>
      <c r="D19" s="69" t="s">
        <v>20</v>
      </c>
      <c r="E19" s="69" t="s">
        <v>79</v>
      </c>
      <c r="F19" s="70" t="s">
        <v>80</v>
      </c>
      <c r="G19" s="69"/>
      <c r="H19" s="165" t="s">
        <v>8</v>
      </c>
      <c r="I19" s="71" t="s">
        <v>33</v>
      </c>
    </row>
    <row r="20" spans="1:9" ht="15.75" customHeight="1" x14ac:dyDescent="0.25">
      <c r="A20" s="20"/>
      <c r="B20" s="60"/>
      <c r="C20" s="72" t="s">
        <v>14</v>
      </c>
      <c r="D20" s="73"/>
      <c r="E20" s="73"/>
      <c r="F20" s="73"/>
      <c r="G20" s="72" t="s">
        <v>15</v>
      </c>
      <c r="H20" s="165"/>
      <c r="I20" s="74" t="s">
        <v>16</v>
      </c>
    </row>
    <row r="21" spans="1:9" ht="15.75" customHeight="1" x14ac:dyDescent="0.25">
      <c r="A21" s="20"/>
      <c r="B21" s="47" t="s">
        <v>66</v>
      </c>
      <c r="C21" s="226" t="s">
        <v>153</v>
      </c>
      <c r="D21" s="226"/>
      <c r="E21" s="226"/>
      <c r="F21" s="226"/>
      <c r="G21" s="49" t="s">
        <v>36</v>
      </c>
      <c r="H21" s="165"/>
      <c r="I21" s="51" t="s">
        <v>77</v>
      </c>
    </row>
    <row r="22" spans="1:9" ht="15.75" customHeight="1" x14ac:dyDescent="0.25">
      <c r="A22" s="20"/>
      <c r="B22" s="47" t="s">
        <v>68</v>
      </c>
      <c r="C22" s="226" t="s">
        <v>152</v>
      </c>
      <c r="D22" s="226"/>
      <c r="E22" s="226"/>
      <c r="F22" s="226"/>
      <c r="G22" s="49"/>
      <c r="H22" s="165"/>
      <c r="I22" s="51" t="s">
        <v>76</v>
      </c>
    </row>
    <row r="23" spans="1:9" ht="15.75" customHeight="1" x14ac:dyDescent="0.25">
      <c r="A23" s="20"/>
      <c r="B23" s="47" t="s">
        <v>69</v>
      </c>
      <c r="C23" s="226" t="s">
        <v>151</v>
      </c>
      <c r="D23" s="226"/>
      <c r="E23" s="226"/>
      <c r="F23" s="226"/>
      <c r="G23" s="49"/>
      <c r="H23" s="165"/>
      <c r="I23" s="51" t="s">
        <v>76</v>
      </c>
    </row>
    <row r="24" spans="1:9" ht="15.75" customHeight="1" x14ac:dyDescent="0.25">
      <c r="A24" s="20"/>
      <c r="B24" s="47" t="s">
        <v>70</v>
      </c>
      <c r="C24" s="226" t="s">
        <v>150</v>
      </c>
      <c r="D24" s="226"/>
      <c r="E24" s="226"/>
      <c r="F24" s="226"/>
      <c r="G24" s="49"/>
      <c r="H24" s="165"/>
      <c r="I24" s="51" t="s">
        <v>77</v>
      </c>
    </row>
    <row r="25" spans="1:9" ht="15.75" customHeight="1" thickBot="1" x14ac:dyDescent="0.3">
      <c r="A25" s="20"/>
      <c r="B25" s="75" t="s">
        <v>71</v>
      </c>
      <c r="C25" s="227" t="s">
        <v>149</v>
      </c>
      <c r="D25" s="227"/>
      <c r="E25" s="227"/>
      <c r="F25" s="227"/>
      <c r="G25" s="76"/>
      <c r="H25" s="230"/>
      <c r="I25" s="77" t="s">
        <v>77</v>
      </c>
    </row>
    <row r="26" spans="1:9" ht="15.75" customHeight="1" thickBot="1" x14ac:dyDescent="0.3">
      <c r="A26" s="20"/>
      <c r="B26" s="50"/>
      <c r="C26" s="50"/>
      <c r="D26" s="50"/>
      <c r="E26" s="50"/>
      <c r="F26" s="64"/>
      <c r="G26" s="64"/>
      <c r="H26" s="64"/>
      <c r="I26" s="80"/>
    </row>
    <row r="27" spans="1:9" ht="15.75" customHeight="1" thickBot="1" x14ac:dyDescent="0.3">
      <c r="A27" s="20"/>
      <c r="B27" s="150" t="s">
        <v>138</v>
      </c>
      <c r="C27" s="151"/>
      <c r="D27" s="151"/>
      <c r="E27" s="151"/>
      <c r="F27" s="151"/>
      <c r="G27" s="151"/>
      <c r="H27" s="151"/>
      <c r="I27" s="152"/>
    </row>
    <row r="28" spans="1:9" ht="15.75" customHeight="1" x14ac:dyDescent="0.25">
      <c r="A28" s="20"/>
      <c r="B28" s="82" t="s">
        <v>9</v>
      </c>
      <c r="C28" s="83" t="s">
        <v>1</v>
      </c>
      <c r="D28" s="83" t="s">
        <v>2</v>
      </c>
      <c r="E28" s="83" t="s">
        <v>10</v>
      </c>
      <c r="F28" s="83" t="s">
        <v>11</v>
      </c>
      <c r="G28" s="83" t="s">
        <v>5</v>
      </c>
      <c r="H28" s="83" t="s">
        <v>12</v>
      </c>
      <c r="I28" s="84" t="s">
        <v>13</v>
      </c>
    </row>
    <row r="29" spans="1:9" ht="31.2" customHeight="1" x14ac:dyDescent="0.25">
      <c r="A29" s="20"/>
      <c r="B29" s="85" t="s">
        <v>52</v>
      </c>
      <c r="C29" s="86" t="s">
        <v>53</v>
      </c>
      <c r="D29" s="86" t="s">
        <v>20</v>
      </c>
      <c r="E29" s="87" t="s">
        <v>54</v>
      </c>
      <c r="F29" s="87" t="s">
        <v>55</v>
      </c>
      <c r="G29" s="88"/>
      <c r="H29" s="167" t="s">
        <v>8</v>
      </c>
      <c r="I29" s="89" t="s">
        <v>33</v>
      </c>
    </row>
    <row r="30" spans="1:9" ht="15.75" customHeight="1" x14ac:dyDescent="0.25">
      <c r="A30" s="20"/>
      <c r="B30" s="60"/>
      <c r="C30" s="90" t="s">
        <v>14</v>
      </c>
      <c r="D30" s="91"/>
      <c r="E30" s="91"/>
      <c r="F30" s="91"/>
      <c r="G30" s="90" t="s">
        <v>15</v>
      </c>
      <c r="H30" s="167"/>
      <c r="I30" s="92" t="s">
        <v>16</v>
      </c>
    </row>
    <row r="31" spans="1:9" ht="15.75" customHeight="1" x14ac:dyDescent="0.25">
      <c r="A31" s="21"/>
      <c r="B31" s="47" t="s">
        <v>115</v>
      </c>
      <c r="C31" s="226" t="s">
        <v>145</v>
      </c>
      <c r="D31" s="226"/>
      <c r="E31" s="226"/>
      <c r="F31" s="226"/>
      <c r="G31" s="49" t="s">
        <v>36</v>
      </c>
      <c r="H31" s="167"/>
      <c r="I31" s="51" t="s">
        <v>78</v>
      </c>
    </row>
    <row r="32" spans="1:9" ht="15.75" customHeight="1" x14ac:dyDescent="0.25">
      <c r="A32" s="22"/>
      <c r="B32" s="47" t="s">
        <v>116</v>
      </c>
      <c r="C32" s="226" t="s">
        <v>146</v>
      </c>
      <c r="D32" s="226"/>
      <c r="E32" s="226"/>
      <c r="F32" s="226"/>
      <c r="G32" s="49"/>
      <c r="H32" s="167"/>
      <c r="I32" s="51" t="s">
        <v>76</v>
      </c>
    </row>
    <row r="33" spans="1:9" ht="15.75" customHeight="1" x14ac:dyDescent="0.25">
      <c r="A33" s="20"/>
      <c r="B33" s="47" t="s">
        <v>117</v>
      </c>
      <c r="C33" s="226" t="s">
        <v>147</v>
      </c>
      <c r="D33" s="226"/>
      <c r="E33" s="226"/>
      <c r="F33" s="226"/>
      <c r="G33" s="49"/>
      <c r="H33" s="167"/>
      <c r="I33" s="51" t="s">
        <v>78</v>
      </c>
    </row>
    <row r="34" spans="1:9" ht="15.75" customHeight="1" x14ac:dyDescent="0.25">
      <c r="A34" s="20"/>
      <c r="B34" s="47" t="s">
        <v>118</v>
      </c>
      <c r="C34" s="226" t="s">
        <v>148</v>
      </c>
      <c r="D34" s="226"/>
      <c r="E34" s="226"/>
      <c r="F34" s="226"/>
      <c r="G34" s="49"/>
      <c r="H34" s="167"/>
      <c r="I34" s="51" t="s">
        <v>76</v>
      </c>
    </row>
    <row r="35" spans="1:9" ht="31.8" customHeight="1" x14ac:dyDescent="0.25">
      <c r="A35" s="20"/>
      <c r="B35" s="93" t="s">
        <v>9</v>
      </c>
      <c r="C35" s="94" t="s">
        <v>1</v>
      </c>
      <c r="D35" s="94" t="s">
        <v>2</v>
      </c>
      <c r="E35" s="94" t="s">
        <v>10</v>
      </c>
      <c r="F35" s="94" t="s">
        <v>11</v>
      </c>
      <c r="G35" s="94" t="s">
        <v>5</v>
      </c>
      <c r="H35" s="94" t="s">
        <v>12</v>
      </c>
      <c r="I35" s="95" t="s">
        <v>13</v>
      </c>
    </row>
    <row r="36" spans="1:9" ht="31.8" customHeight="1" x14ac:dyDescent="0.25">
      <c r="A36" s="20"/>
      <c r="B36" s="96" t="s">
        <v>83</v>
      </c>
      <c r="C36" s="97" t="s">
        <v>124</v>
      </c>
      <c r="D36" s="97" t="s">
        <v>20</v>
      </c>
      <c r="E36" s="97" t="s">
        <v>126</v>
      </c>
      <c r="F36" s="97" t="s">
        <v>84</v>
      </c>
      <c r="G36" s="97"/>
      <c r="H36" s="169" t="s">
        <v>8</v>
      </c>
      <c r="I36" s="98" t="s">
        <v>85</v>
      </c>
    </row>
    <row r="37" spans="1:9" ht="15.75" customHeight="1" x14ac:dyDescent="0.25">
      <c r="A37" s="20"/>
      <c r="B37" s="60"/>
      <c r="C37" s="99" t="s">
        <v>14</v>
      </c>
      <c r="D37" s="100"/>
      <c r="E37" s="100"/>
      <c r="F37" s="100"/>
      <c r="G37" s="99" t="s">
        <v>15</v>
      </c>
      <c r="H37" s="169"/>
      <c r="I37" s="101" t="s">
        <v>16</v>
      </c>
    </row>
    <row r="38" spans="1:9" ht="15.75" customHeight="1" x14ac:dyDescent="0.25">
      <c r="A38" s="20"/>
      <c r="B38" s="102" t="s">
        <v>86</v>
      </c>
      <c r="C38" s="103" t="s">
        <v>125</v>
      </c>
      <c r="D38" s="103"/>
      <c r="E38" s="103"/>
      <c r="F38" s="103"/>
      <c r="G38" s="49" t="s">
        <v>35</v>
      </c>
      <c r="H38" s="169"/>
      <c r="I38" s="104" t="s">
        <v>75</v>
      </c>
    </row>
    <row r="39" spans="1:9" ht="15.75" customHeight="1" x14ac:dyDescent="0.25">
      <c r="A39" s="20"/>
      <c r="B39" s="102" t="s">
        <v>87</v>
      </c>
      <c r="C39" s="103" t="s">
        <v>93</v>
      </c>
      <c r="D39" s="103"/>
      <c r="E39" s="103"/>
      <c r="F39" s="103"/>
      <c r="G39" s="49"/>
      <c r="H39" s="169"/>
      <c r="I39" s="104" t="s">
        <v>78</v>
      </c>
    </row>
    <row r="40" spans="1:9" ht="15.75" customHeight="1" x14ac:dyDescent="0.25">
      <c r="A40" s="20"/>
      <c r="B40" s="102" t="s">
        <v>88</v>
      </c>
      <c r="C40" s="103" t="s">
        <v>91</v>
      </c>
      <c r="D40" s="103"/>
      <c r="E40" s="103"/>
      <c r="F40" s="103"/>
      <c r="G40" s="49"/>
      <c r="H40" s="169"/>
      <c r="I40" s="104" t="s">
        <v>75</v>
      </c>
    </row>
    <row r="41" spans="1:9" ht="15.75" customHeight="1" x14ac:dyDescent="0.25">
      <c r="A41" s="20"/>
      <c r="B41" s="102" t="s">
        <v>89</v>
      </c>
      <c r="C41" s="103" t="s">
        <v>92</v>
      </c>
      <c r="D41" s="103"/>
      <c r="E41" s="103"/>
      <c r="F41" s="103"/>
      <c r="G41" s="49"/>
      <c r="H41" s="169"/>
      <c r="I41" s="104" t="s">
        <v>78</v>
      </c>
    </row>
    <row r="42" spans="1:9" ht="15.6" customHeight="1" x14ac:dyDescent="0.25">
      <c r="A42" s="20"/>
      <c r="B42" s="105" t="s">
        <v>9</v>
      </c>
      <c r="C42" s="106" t="s">
        <v>1</v>
      </c>
      <c r="D42" s="106" t="s">
        <v>2</v>
      </c>
      <c r="E42" s="106" t="s">
        <v>10</v>
      </c>
      <c r="F42" s="106" t="s">
        <v>11</v>
      </c>
      <c r="G42" s="106" t="s">
        <v>5</v>
      </c>
      <c r="H42" s="106" t="s">
        <v>12</v>
      </c>
      <c r="I42" s="107" t="s">
        <v>13</v>
      </c>
    </row>
    <row r="43" spans="1:9" ht="27.6" customHeight="1" x14ac:dyDescent="0.25">
      <c r="A43" s="20"/>
      <c r="B43" s="108" t="s">
        <v>90</v>
      </c>
      <c r="C43" s="109" t="s">
        <v>119</v>
      </c>
      <c r="D43" s="109" t="s">
        <v>20</v>
      </c>
      <c r="E43" s="109" t="s">
        <v>120</v>
      </c>
      <c r="F43" s="109" t="s">
        <v>121</v>
      </c>
      <c r="G43" s="109"/>
      <c r="H43" s="171" t="s">
        <v>8</v>
      </c>
      <c r="I43" s="110" t="s">
        <v>85</v>
      </c>
    </row>
    <row r="44" spans="1:9" ht="15.75" customHeight="1" x14ac:dyDescent="0.25">
      <c r="A44" s="20"/>
      <c r="B44" s="60"/>
      <c r="C44" s="111" t="s">
        <v>14</v>
      </c>
      <c r="D44" s="112"/>
      <c r="E44" s="112"/>
      <c r="F44" s="112"/>
      <c r="G44" s="111" t="s">
        <v>15</v>
      </c>
      <c r="H44" s="171"/>
      <c r="I44" s="113" t="s">
        <v>16</v>
      </c>
    </row>
    <row r="45" spans="1:9" ht="15.75" customHeight="1" x14ac:dyDescent="0.25">
      <c r="A45" s="20"/>
      <c r="B45" s="114" t="s">
        <v>67</v>
      </c>
      <c r="C45" s="24" t="s">
        <v>128</v>
      </c>
      <c r="D45" s="24"/>
      <c r="E45" s="24"/>
      <c r="F45" s="24"/>
      <c r="G45" s="23" t="s">
        <v>34</v>
      </c>
      <c r="H45" s="171"/>
      <c r="I45" s="115" t="s">
        <v>77</v>
      </c>
    </row>
    <row r="46" spans="1:9" ht="15.75" customHeight="1" x14ac:dyDescent="0.25">
      <c r="A46" s="20"/>
      <c r="B46" s="114" t="s">
        <v>72</v>
      </c>
      <c r="C46" s="24" t="s">
        <v>122</v>
      </c>
      <c r="D46" s="24"/>
      <c r="E46" s="24"/>
      <c r="F46" s="24"/>
      <c r="G46" s="23"/>
      <c r="H46" s="171"/>
      <c r="I46" s="115" t="s">
        <v>78</v>
      </c>
    </row>
    <row r="47" spans="1:9" ht="15.75" customHeight="1" thickBot="1" x14ac:dyDescent="0.3">
      <c r="A47" s="20"/>
      <c r="B47" s="116" t="s">
        <v>73</v>
      </c>
      <c r="C47" s="117" t="s">
        <v>123</v>
      </c>
      <c r="D47" s="117"/>
      <c r="E47" s="117"/>
      <c r="F47" s="117"/>
      <c r="G47" s="118"/>
      <c r="H47" s="229"/>
      <c r="I47" s="120" t="s">
        <v>76</v>
      </c>
    </row>
    <row r="48" spans="1:9" ht="15.75" customHeight="1" thickBot="1" x14ac:dyDescent="0.3">
      <c r="A48" s="20"/>
      <c r="B48" s="121"/>
      <c r="C48" s="122"/>
      <c r="D48" s="122"/>
      <c r="E48" s="122"/>
      <c r="F48" s="122"/>
      <c r="G48" s="19"/>
      <c r="H48" s="12"/>
      <c r="I48" s="81"/>
    </row>
    <row r="49" spans="1:9" ht="15.75" customHeight="1" thickBot="1" x14ac:dyDescent="0.3">
      <c r="A49" s="20"/>
      <c r="B49" s="147" t="s">
        <v>139</v>
      </c>
      <c r="C49" s="148"/>
      <c r="D49" s="148"/>
      <c r="E49" s="148"/>
      <c r="F49" s="148"/>
      <c r="G49" s="148"/>
      <c r="H49" s="148"/>
      <c r="I49" s="149"/>
    </row>
    <row r="50" spans="1:9" ht="15.75" customHeight="1" x14ac:dyDescent="0.25">
      <c r="B50" s="123" t="s">
        <v>9</v>
      </c>
      <c r="C50" s="124" t="s">
        <v>1</v>
      </c>
      <c r="D50" s="124" t="s">
        <v>2</v>
      </c>
      <c r="E50" s="124" t="s">
        <v>10</v>
      </c>
      <c r="F50" s="124" t="s">
        <v>11</v>
      </c>
      <c r="G50" s="124" t="s">
        <v>5</v>
      </c>
      <c r="H50" s="124" t="s">
        <v>12</v>
      </c>
      <c r="I50" s="125" t="s">
        <v>13</v>
      </c>
    </row>
    <row r="51" spans="1:9" ht="34.200000000000003" customHeight="1" x14ac:dyDescent="0.25">
      <c r="B51" s="126" t="s">
        <v>94</v>
      </c>
      <c r="C51" s="16" t="s">
        <v>95</v>
      </c>
      <c r="D51" s="16" t="s">
        <v>20</v>
      </c>
      <c r="E51" s="16" t="s">
        <v>96</v>
      </c>
      <c r="F51" s="16" t="s">
        <v>97</v>
      </c>
      <c r="G51" s="16"/>
      <c r="H51" s="173" t="s">
        <v>8</v>
      </c>
      <c r="I51" s="127" t="s">
        <v>85</v>
      </c>
    </row>
    <row r="52" spans="1:9" ht="13.8" customHeight="1" x14ac:dyDescent="0.25">
      <c r="B52" s="60"/>
      <c r="C52" s="128" t="s">
        <v>14</v>
      </c>
      <c r="D52" s="129"/>
      <c r="E52" s="129"/>
      <c r="F52" s="129"/>
      <c r="G52" s="128" t="s">
        <v>15</v>
      </c>
      <c r="H52" s="173"/>
      <c r="I52" s="130" t="s">
        <v>16</v>
      </c>
    </row>
    <row r="53" spans="1:9" ht="15.75" customHeight="1" x14ac:dyDescent="0.25">
      <c r="B53" s="131" t="s">
        <v>98</v>
      </c>
      <c r="C53" s="25" t="s">
        <v>129</v>
      </c>
      <c r="D53" s="26"/>
      <c r="E53" s="26"/>
      <c r="F53" s="27"/>
      <c r="G53" s="49" t="s">
        <v>35</v>
      </c>
      <c r="H53" s="173"/>
      <c r="I53" s="132" t="s">
        <v>75</v>
      </c>
    </row>
    <row r="54" spans="1:9" ht="15.75" customHeight="1" x14ac:dyDescent="0.25">
      <c r="B54" s="131" t="s">
        <v>99</v>
      </c>
      <c r="C54" s="25" t="s">
        <v>100</v>
      </c>
      <c r="D54" s="26"/>
      <c r="E54" s="26"/>
      <c r="F54" s="27"/>
      <c r="G54" s="49"/>
      <c r="H54" s="173"/>
      <c r="I54" s="132" t="s">
        <v>78</v>
      </c>
    </row>
    <row r="55" spans="1:9" ht="15.75" customHeight="1" x14ac:dyDescent="0.25">
      <c r="B55" s="131" t="s">
        <v>101</v>
      </c>
      <c r="C55" s="25" t="s">
        <v>102</v>
      </c>
      <c r="D55" s="26"/>
      <c r="E55" s="26"/>
      <c r="F55" s="27"/>
      <c r="G55" s="49"/>
      <c r="H55" s="173"/>
      <c r="I55" s="132" t="s">
        <v>78</v>
      </c>
    </row>
    <row r="56" spans="1:9" ht="15.75" customHeight="1" x14ac:dyDescent="0.25">
      <c r="B56" s="131" t="s">
        <v>103</v>
      </c>
      <c r="C56" s="25" t="s">
        <v>130</v>
      </c>
      <c r="D56" s="26"/>
      <c r="E56" s="26"/>
      <c r="F56" s="27"/>
      <c r="G56" s="49"/>
      <c r="H56" s="173"/>
      <c r="I56" s="132" t="s">
        <v>78</v>
      </c>
    </row>
    <row r="57" spans="1:9" ht="15.75" customHeight="1" x14ac:dyDescent="0.25">
      <c r="B57" s="133" t="s">
        <v>9</v>
      </c>
      <c r="C57" s="134" t="s">
        <v>1</v>
      </c>
      <c r="D57" s="134" t="s">
        <v>2</v>
      </c>
      <c r="E57" s="134" t="s">
        <v>10</v>
      </c>
      <c r="F57" s="134" t="s">
        <v>11</v>
      </c>
      <c r="G57" s="134" t="s">
        <v>5</v>
      </c>
      <c r="H57" s="134" t="s">
        <v>12</v>
      </c>
      <c r="I57" s="135" t="s">
        <v>13</v>
      </c>
    </row>
    <row r="58" spans="1:9" ht="26.4" customHeight="1" x14ac:dyDescent="0.25">
      <c r="B58" s="136" t="s">
        <v>104</v>
      </c>
      <c r="C58" s="17" t="s">
        <v>105</v>
      </c>
      <c r="D58" s="17" t="s">
        <v>20</v>
      </c>
      <c r="E58" s="17" t="s">
        <v>106</v>
      </c>
      <c r="F58" s="17" t="s">
        <v>107</v>
      </c>
      <c r="G58" s="17"/>
      <c r="H58" s="175" t="s">
        <v>8</v>
      </c>
      <c r="I58" s="137" t="s">
        <v>85</v>
      </c>
    </row>
    <row r="59" spans="1:9" ht="16.2" customHeight="1" x14ac:dyDescent="0.25">
      <c r="B59" s="60"/>
      <c r="C59" s="138" t="s">
        <v>14</v>
      </c>
      <c r="D59" s="139"/>
      <c r="E59" s="139"/>
      <c r="F59" s="139"/>
      <c r="G59" s="138" t="s">
        <v>15</v>
      </c>
      <c r="H59" s="175"/>
      <c r="I59" s="140" t="s">
        <v>16</v>
      </c>
    </row>
    <row r="60" spans="1:9" ht="15.75" customHeight="1" x14ac:dyDescent="0.25">
      <c r="B60" s="131" t="s">
        <v>108</v>
      </c>
      <c r="C60" s="25" t="s">
        <v>127</v>
      </c>
      <c r="D60" s="26"/>
      <c r="E60" s="26"/>
      <c r="F60" s="27"/>
      <c r="G60" s="23" t="s">
        <v>34</v>
      </c>
      <c r="H60" s="175"/>
      <c r="I60" s="141" t="s">
        <v>78</v>
      </c>
    </row>
    <row r="61" spans="1:9" ht="15.75" customHeight="1" x14ac:dyDescent="0.25">
      <c r="B61" s="131" t="s">
        <v>109</v>
      </c>
      <c r="C61" s="25" t="s">
        <v>131</v>
      </c>
      <c r="D61" s="26"/>
      <c r="E61" s="26"/>
      <c r="F61" s="27"/>
      <c r="G61" s="23"/>
      <c r="H61" s="175"/>
      <c r="I61" s="141" t="s">
        <v>78</v>
      </c>
    </row>
    <row r="62" spans="1:9" ht="15.75" customHeight="1" thickBot="1" x14ac:dyDescent="0.3">
      <c r="B62" s="142" t="s">
        <v>132</v>
      </c>
      <c r="C62" s="143" t="s">
        <v>110</v>
      </c>
      <c r="D62" s="144"/>
      <c r="E62" s="144"/>
      <c r="F62" s="145"/>
      <c r="G62" s="118"/>
      <c r="H62" s="228"/>
      <c r="I62" s="146" t="s">
        <v>78</v>
      </c>
    </row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2:7" ht="15.75" customHeight="1" x14ac:dyDescent="0.25"/>
    <row r="82" spans="2:7" ht="15.75" customHeight="1" x14ac:dyDescent="0.25"/>
    <row r="83" spans="2:7" ht="15.75" customHeight="1" x14ac:dyDescent="0.25"/>
    <row r="84" spans="2:7" ht="15.75" customHeight="1" x14ac:dyDescent="0.25"/>
    <row r="85" spans="2:7" ht="15.75" customHeight="1" x14ac:dyDescent="0.25"/>
    <row r="86" spans="2:7" ht="15.75" customHeight="1" x14ac:dyDescent="0.25">
      <c r="B86" s="10"/>
      <c r="C86" s="15"/>
      <c r="D86" s="13"/>
      <c r="E86" s="13"/>
      <c r="F86" s="14"/>
      <c r="G86" s="11"/>
    </row>
    <row r="87" spans="2:7" ht="15.75" customHeight="1" x14ac:dyDescent="0.25">
      <c r="C87" s="12"/>
      <c r="D87" s="12"/>
      <c r="E87" s="12"/>
      <c r="F87" s="12"/>
    </row>
    <row r="88" spans="2:7" ht="15.75" customHeight="1" x14ac:dyDescent="0.25"/>
    <row r="89" spans="2:7" ht="15.75" customHeight="1" x14ac:dyDescent="0.25"/>
    <row r="90" spans="2:7" ht="15.75" customHeight="1" x14ac:dyDescent="0.25"/>
    <row r="91" spans="2:7" ht="15.75" customHeight="1" x14ac:dyDescent="0.25"/>
    <row r="92" spans="2:7" ht="15.75" customHeight="1" x14ac:dyDescent="0.25"/>
    <row r="93" spans="2:7" ht="15.75" customHeight="1" x14ac:dyDescent="0.25"/>
    <row r="94" spans="2:7" ht="15.75" customHeight="1" x14ac:dyDescent="0.25"/>
    <row r="95" spans="2:7" ht="15.75" customHeight="1" x14ac:dyDescent="0.25"/>
    <row r="96" spans="2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</sheetData>
  <mergeCells count="51">
    <mergeCell ref="H19:H25"/>
    <mergeCell ref="H11:H17"/>
    <mergeCell ref="H4:H9"/>
    <mergeCell ref="H58:H62"/>
    <mergeCell ref="H51:H56"/>
    <mergeCell ref="H43:H47"/>
    <mergeCell ref="H36:H41"/>
    <mergeCell ref="H29:H34"/>
    <mergeCell ref="B2:I2"/>
    <mergeCell ref="B27:I27"/>
    <mergeCell ref="B49:I49"/>
    <mergeCell ref="C13:F13"/>
    <mergeCell ref="C14:F14"/>
    <mergeCell ref="C15:F15"/>
    <mergeCell ref="C16:F16"/>
    <mergeCell ref="C17:F17"/>
    <mergeCell ref="C21:F21"/>
    <mergeCell ref="C22:F22"/>
    <mergeCell ref="C23:F23"/>
    <mergeCell ref="C24:F24"/>
    <mergeCell ref="C25:F25"/>
    <mergeCell ref="C31:F31"/>
    <mergeCell ref="C32:F32"/>
    <mergeCell ref="C33:F33"/>
    <mergeCell ref="C56:F56"/>
    <mergeCell ref="C60:F60"/>
    <mergeCell ref="C61:F61"/>
    <mergeCell ref="C62:F62"/>
    <mergeCell ref="G60:G62"/>
    <mergeCell ref="G53:G56"/>
    <mergeCell ref="C55:F55"/>
    <mergeCell ref="G31:G34"/>
    <mergeCell ref="C40:F40"/>
    <mergeCell ref="C39:F39"/>
    <mergeCell ref="C38:F38"/>
    <mergeCell ref="C54:F54"/>
    <mergeCell ref="C34:F34"/>
    <mergeCell ref="C41:F41"/>
    <mergeCell ref="G38:G41"/>
    <mergeCell ref="C53:F53"/>
    <mergeCell ref="G45:G47"/>
    <mergeCell ref="G6:G9"/>
    <mergeCell ref="G13:G17"/>
    <mergeCell ref="G21:G24"/>
    <mergeCell ref="C6:F6"/>
    <mergeCell ref="C7:F7"/>
    <mergeCell ref="C8:F8"/>
    <mergeCell ref="C9:F9"/>
    <mergeCell ref="C45:F45"/>
    <mergeCell ref="C46:F46"/>
    <mergeCell ref="C47:F47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979"/>
  <sheetViews>
    <sheetView tabSelected="1" zoomScale="40" zoomScaleNormal="40" workbookViewId="0">
      <selection activeCell="S104" sqref="S104"/>
    </sheetView>
  </sheetViews>
  <sheetFormatPr baseColWidth="10" defaultColWidth="12.5546875" defaultRowHeight="15" customHeight="1" x14ac:dyDescent="0.25"/>
  <cols>
    <col min="1" max="1" width="12.44140625" customWidth="1"/>
    <col min="2" max="2" width="11.77734375" customWidth="1"/>
    <col min="3" max="19" width="12.44140625" customWidth="1"/>
    <col min="20" max="20" width="20.88671875" customWidth="1"/>
    <col min="21" max="26" width="12.44140625" customWidth="1"/>
  </cols>
  <sheetData>
    <row r="1" spans="1:20" ht="15.75" customHeight="1" thickBot="1" x14ac:dyDescent="0.3"/>
    <row r="2" spans="1:20" ht="15.75" customHeight="1" thickBot="1" x14ac:dyDescent="0.3">
      <c r="A2" s="211">
        <v>1</v>
      </c>
      <c r="B2" s="212"/>
      <c r="C2" s="181" t="s">
        <v>137</v>
      </c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2"/>
    </row>
    <row r="3" spans="1:20" ht="15.75" customHeight="1" x14ac:dyDescent="0.25">
      <c r="A3" s="213"/>
      <c r="B3" s="214"/>
      <c r="C3" s="183" t="s">
        <v>16</v>
      </c>
      <c r="D3" s="183" t="s">
        <v>56</v>
      </c>
      <c r="E3" s="183" t="s">
        <v>57</v>
      </c>
      <c r="F3" s="183" t="s">
        <v>58</v>
      </c>
      <c r="G3" s="183" t="s">
        <v>59</v>
      </c>
      <c r="H3" s="183" t="s">
        <v>60</v>
      </c>
      <c r="I3" s="183" t="s">
        <v>22</v>
      </c>
      <c r="J3" s="183" t="s">
        <v>23</v>
      </c>
      <c r="K3" s="183" t="s">
        <v>24</v>
      </c>
      <c r="L3" s="183" t="s">
        <v>25</v>
      </c>
      <c r="M3" s="183" t="s">
        <v>26</v>
      </c>
      <c r="N3" s="183" t="s">
        <v>27</v>
      </c>
      <c r="O3" s="183" t="s">
        <v>28</v>
      </c>
      <c r="P3" s="183" t="s">
        <v>29</v>
      </c>
      <c r="Q3" s="183" t="s">
        <v>30</v>
      </c>
      <c r="R3" s="183" t="s">
        <v>31</v>
      </c>
      <c r="S3" s="184" t="s">
        <v>32</v>
      </c>
      <c r="T3" s="201" t="s">
        <v>17</v>
      </c>
    </row>
    <row r="4" spans="1:20" ht="15.75" customHeight="1" x14ac:dyDescent="0.25">
      <c r="A4" s="185" t="s">
        <v>41</v>
      </c>
      <c r="B4" s="34" t="s">
        <v>37</v>
      </c>
      <c r="C4" s="186" t="s">
        <v>75</v>
      </c>
      <c r="D4" s="7">
        <v>1</v>
      </c>
      <c r="E4" s="7">
        <v>0</v>
      </c>
      <c r="F4" s="7">
        <v>0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187">
        <v>0</v>
      </c>
      <c r="T4" s="202">
        <f>SUM(D4:S4)</f>
        <v>2</v>
      </c>
    </row>
    <row r="5" spans="1:20" ht="15.75" customHeight="1" x14ac:dyDescent="0.25">
      <c r="A5" s="185"/>
      <c r="B5" s="34" t="s">
        <v>38</v>
      </c>
      <c r="C5" s="186" t="s">
        <v>74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187">
        <v>0</v>
      </c>
      <c r="T5" s="202">
        <f>SUM(D5:S5)</f>
        <v>1</v>
      </c>
    </row>
    <row r="6" spans="1:20" ht="15.75" customHeight="1" x14ac:dyDescent="0.25">
      <c r="A6" s="185"/>
      <c r="B6" s="34" t="s">
        <v>39</v>
      </c>
      <c r="C6" s="186" t="s">
        <v>74</v>
      </c>
      <c r="D6" s="7">
        <v>0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187">
        <v>0</v>
      </c>
      <c r="T6" s="202">
        <f>SUM(D6:S6)</f>
        <v>1</v>
      </c>
    </row>
    <row r="7" spans="1:20" ht="15.75" customHeight="1" x14ac:dyDescent="0.25">
      <c r="A7" s="185"/>
      <c r="B7" s="34" t="s">
        <v>40</v>
      </c>
      <c r="C7" s="186" t="s">
        <v>75</v>
      </c>
      <c r="D7" s="7">
        <v>1</v>
      </c>
      <c r="E7" s="7">
        <v>0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187">
        <v>0</v>
      </c>
      <c r="T7" s="202">
        <f>SUM(D7:S7)</f>
        <v>2</v>
      </c>
    </row>
    <row r="8" spans="1:20" ht="15.75" customHeight="1" x14ac:dyDescent="0.25">
      <c r="A8" s="52"/>
      <c r="B8" s="18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87"/>
      <c r="T8" s="203"/>
    </row>
    <row r="9" spans="1:20" ht="15.75" customHeight="1" x14ac:dyDescent="0.25">
      <c r="A9" s="189" t="s">
        <v>45</v>
      </c>
      <c r="B9" s="34" t="s">
        <v>61</v>
      </c>
      <c r="C9" s="186" t="s">
        <v>76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1</v>
      </c>
      <c r="K9" s="7">
        <v>1</v>
      </c>
      <c r="L9" s="7">
        <v>1</v>
      </c>
      <c r="M9" s="7">
        <v>1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187">
        <v>0</v>
      </c>
      <c r="T9" s="202">
        <f>SUM(D9:S9)</f>
        <v>4</v>
      </c>
    </row>
    <row r="10" spans="1:20" ht="15.75" customHeight="1" x14ac:dyDescent="0.25">
      <c r="A10" s="189"/>
      <c r="B10" s="34" t="s">
        <v>62</v>
      </c>
      <c r="C10" s="186" t="s">
        <v>76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1</v>
      </c>
      <c r="K10" s="7">
        <v>1</v>
      </c>
      <c r="L10" s="7">
        <v>1</v>
      </c>
      <c r="M10" s="7">
        <v>1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187">
        <v>0</v>
      </c>
      <c r="T10" s="202">
        <f>SUM(D10:S10)</f>
        <v>4</v>
      </c>
    </row>
    <row r="11" spans="1:20" ht="15.75" customHeight="1" x14ac:dyDescent="0.25">
      <c r="A11" s="189"/>
      <c r="B11" s="34" t="s">
        <v>63</v>
      </c>
      <c r="C11" s="186" t="s">
        <v>76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1</v>
      </c>
      <c r="K11" s="7">
        <v>1</v>
      </c>
      <c r="L11" s="7">
        <v>1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187">
        <v>0</v>
      </c>
      <c r="T11" s="202">
        <f>SUM(D11:S11)</f>
        <v>4</v>
      </c>
    </row>
    <row r="12" spans="1:20" ht="15.75" customHeight="1" x14ac:dyDescent="0.25">
      <c r="A12" s="189"/>
      <c r="B12" s="34" t="s">
        <v>64</v>
      </c>
      <c r="C12" s="186" t="s">
        <v>76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</v>
      </c>
      <c r="K12" s="7">
        <v>1</v>
      </c>
      <c r="L12" s="7">
        <v>1</v>
      </c>
      <c r="M12" s="7">
        <v>1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187">
        <v>0</v>
      </c>
      <c r="T12" s="202">
        <f>SUM(D12:S12)</f>
        <v>4</v>
      </c>
    </row>
    <row r="13" spans="1:20" ht="15.75" customHeight="1" x14ac:dyDescent="0.25">
      <c r="A13" s="189"/>
      <c r="B13" s="31" t="s">
        <v>65</v>
      </c>
      <c r="C13" s="186" t="s">
        <v>76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  <c r="K13" s="7">
        <v>1</v>
      </c>
      <c r="L13" s="7">
        <v>1</v>
      </c>
      <c r="M13" s="7">
        <v>1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187">
        <v>0</v>
      </c>
      <c r="T13" s="202">
        <f>SUM(D13:S13)</f>
        <v>4</v>
      </c>
    </row>
    <row r="14" spans="1:20" ht="15.75" customHeight="1" x14ac:dyDescent="0.25">
      <c r="A14" s="52"/>
      <c r="B14" s="12"/>
      <c r="C14" s="190"/>
      <c r="D14" s="1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87"/>
      <c r="T14" s="204"/>
    </row>
    <row r="15" spans="1:20" ht="15.75" customHeight="1" x14ac:dyDescent="0.25">
      <c r="A15" s="191" t="s">
        <v>50</v>
      </c>
      <c r="B15" s="34" t="s">
        <v>66</v>
      </c>
      <c r="C15" s="186" t="s">
        <v>77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v>1</v>
      </c>
      <c r="Q15" s="7">
        <v>0</v>
      </c>
      <c r="R15" s="7">
        <v>1</v>
      </c>
      <c r="S15" s="187">
        <v>1</v>
      </c>
      <c r="T15" s="202">
        <f>SUM(D15:S15)</f>
        <v>5</v>
      </c>
    </row>
    <row r="16" spans="1:20" ht="15.75" customHeight="1" x14ac:dyDescent="0.25">
      <c r="A16" s="191"/>
      <c r="B16" s="34" t="s">
        <v>68</v>
      </c>
      <c r="C16" s="186" t="s">
        <v>76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1</v>
      </c>
      <c r="Q16" s="7">
        <v>1</v>
      </c>
      <c r="R16" s="7">
        <v>0</v>
      </c>
      <c r="S16" s="187">
        <v>1</v>
      </c>
      <c r="T16" s="202">
        <f>SUM(D16:S16)</f>
        <v>4</v>
      </c>
    </row>
    <row r="17" spans="1:20" ht="15.75" customHeight="1" x14ac:dyDescent="0.25">
      <c r="A17" s="191"/>
      <c r="B17" s="34" t="s">
        <v>69</v>
      </c>
      <c r="C17" s="186" t="s">
        <v>76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1</v>
      </c>
      <c r="O17" s="7">
        <v>1</v>
      </c>
      <c r="P17" s="7">
        <v>0</v>
      </c>
      <c r="Q17" s="7">
        <v>1</v>
      </c>
      <c r="R17" s="7">
        <v>0</v>
      </c>
      <c r="S17" s="187">
        <v>1</v>
      </c>
      <c r="T17" s="202">
        <f>SUM(D17:S17)</f>
        <v>4</v>
      </c>
    </row>
    <row r="18" spans="1:20" ht="15.75" customHeight="1" x14ac:dyDescent="0.25">
      <c r="A18" s="191"/>
      <c r="B18" s="34" t="s">
        <v>70</v>
      </c>
      <c r="C18" s="186" t="s">
        <v>77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1</v>
      </c>
      <c r="O18" s="7">
        <v>1</v>
      </c>
      <c r="P18" s="7">
        <v>1</v>
      </c>
      <c r="Q18" s="7">
        <v>1</v>
      </c>
      <c r="R18" s="7">
        <v>0</v>
      </c>
      <c r="S18" s="187">
        <v>1</v>
      </c>
      <c r="T18" s="202">
        <f>SUM(D18:S18)</f>
        <v>5</v>
      </c>
    </row>
    <row r="19" spans="1:20" ht="15.75" customHeight="1" thickBot="1" x14ac:dyDescent="0.3">
      <c r="A19" s="192"/>
      <c r="B19" s="193" t="s">
        <v>71</v>
      </c>
      <c r="C19" s="194" t="s">
        <v>77</v>
      </c>
      <c r="D19" s="195">
        <v>0</v>
      </c>
      <c r="E19" s="195">
        <v>0</v>
      </c>
      <c r="F19" s="195">
        <v>0</v>
      </c>
      <c r="G19" s="195">
        <v>0</v>
      </c>
      <c r="H19" s="195">
        <v>0</v>
      </c>
      <c r="I19" s="195">
        <v>0</v>
      </c>
      <c r="J19" s="195">
        <v>0</v>
      </c>
      <c r="K19" s="195">
        <v>0</v>
      </c>
      <c r="L19" s="195">
        <v>0</v>
      </c>
      <c r="M19" s="195">
        <v>0</v>
      </c>
      <c r="N19" s="195">
        <v>1</v>
      </c>
      <c r="O19" s="195">
        <v>1</v>
      </c>
      <c r="P19" s="195">
        <v>1</v>
      </c>
      <c r="Q19" s="195">
        <v>0</v>
      </c>
      <c r="R19" s="195">
        <v>1</v>
      </c>
      <c r="S19" s="196">
        <v>1</v>
      </c>
      <c r="T19" s="205">
        <f>SUM(D19:S19)</f>
        <v>5</v>
      </c>
    </row>
    <row r="20" spans="1:20" ht="15.75" customHeight="1" thickBot="1" x14ac:dyDescent="0.3">
      <c r="B20" s="30"/>
      <c r="C20" s="2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</row>
    <row r="21" spans="1:20" ht="15.75" customHeight="1" thickBot="1" x14ac:dyDescent="0.3">
      <c r="A21" s="211">
        <v>2</v>
      </c>
      <c r="B21" s="212"/>
      <c r="C21" s="181" t="s">
        <v>137</v>
      </c>
      <c r="D21" s="181"/>
      <c r="E21" s="181"/>
      <c r="F21" s="181"/>
      <c r="G21" s="181"/>
      <c r="H21" s="181"/>
      <c r="I21" s="181"/>
      <c r="J21" s="181"/>
      <c r="K21" s="181"/>
      <c r="L21" s="181"/>
      <c r="M21" s="182"/>
      <c r="S21" s="12"/>
      <c r="T21" s="206"/>
    </row>
    <row r="22" spans="1:20" ht="15.75" customHeight="1" x14ac:dyDescent="0.25">
      <c r="A22" s="213"/>
      <c r="B22" s="214"/>
      <c r="C22" s="183" t="s">
        <v>16</v>
      </c>
      <c r="D22" s="183" t="s">
        <v>56</v>
      </c>
      <c r="E22" s="183" t="s">
        <v>57</v>
      </c>
      <c r="F22" s="183" t="s">
        <v>58</v>
      </c>
      <c r="G22" s="183" t="s">
        <v>59</v>
      </c>
      <c r="H22" s="183" t="s">
        <v>60</v>
      </c>
      <c r="I22" s="183" t="s">
        <v>22</v>
      </c>
      <c r="J22" s="183" t="s">
        <v>23</v>
      </c>
      <c r="K22" s="183" t="s">
        <v>24</v>
      </c>
      <c r="L22" s="183" t="s">
        <v>25</v>
      </c>
      <c r="M22" s="184" t="s">
        <v>26</v>
      </c>
      <c r="N22" s="2"/>
      <c r="O22" s="2"/>
      <c r="P22" s="2"/>
      <c r="Q22" s="2"/>
      <c r="R22" s="2"/>
      <c r="T22" s="201" t="s">
        <v>17</v>
      </c>
    </row>
    <row r="23" spans="1:20" ht="15.75" customHeight="1" x14ac:dyDescent="0.25">
      <c r="A23" s="166" t="s">
        <v>52</v>
      </c>
      <c r="B23" s="34" t="s">
        <v>66</v>
      </c>
      <c r="C23" s="219" t="s">
        <v>78</v>
      </c>
      <c r="D23" s="7">
        <v>1</v>
      </c>
      <c r="E23" s="7">
        <v>1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187">
        <v>0</v>
      </c>
      <c r="N23" s="2"/>
      <c r="O23" s="2"/>
      <c r="P23" s="2"/>
      <c r="Q23" s="2"/>
      <c r="R23" s="2"/>
      <c r="S23" s="2"/>
      <c r="T23" s="202">
        <f>SUM(D23:S23)</f>
        <v>3</v>
      </c>
    </row>
    <row r="24" spans="1:20" ht="15.75" customHeight="1" x14ac:dyDescent="0.25">
      <c r="A24" s="166"/>
      <c r="B24" s="34" t="s">
        <v>68</v>
      </c>
      <c r="C24" s="219" t="s">
        <v>76</v>
      </c>
      <c r="D24" s="7">
        <v>2</v>
      </c>
      <c r="E24" s="7">
        <v>1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187">
        <v>0</v>
      </c>
      <c r="T24" s="202">
        <f>SUM(D24:S24)</f>
        <v>4</v>
      </c>
    </row>
    <row r="25" spans="1:20" ht="15.75" customHeight="1" x14ac:dyDescent="0.25">
      <c r="A25" s="166"/>
      <c r="B25" s="34" t="s">
        <v>69</v>
      </c>
      <c r="C25" s="219" t="s">
        <v>78</v>
      </c>
      <c r="D25" s="7">
        <v>1</v>
      </c>
      <c r="E25" s="7">
        <v>1</v>
      </c>
      <c r="F25" s="7">
        <v>1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187">
        <v>0</v>
      </c>
      <c r="T25" s="202">
        <f>SUM(D25:S25)</f>
        <v>3</v>
      </c>
    </row>
    <row r="26" spans="1:20" ht="15.75" customHeight="1" x14ac:dyDescent="0.25">
      <c r="A26" s="166"/>
      <c r="B26" s="34" t="s">
        <v>70</v>
      </c>
      <c r="C26" s="219" t="s">
        <v>76</v>
      </c>
      <c r="D26" s="7">
        <v>1</v>
      </c>
      <c r="E26" s="7">
        <v>2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87">
        <v>0</v>
      </c>
      <c r="N26" s="2"/>
      <c r="O26" s="2"/>
      <c r="P26" s="2"/>
      <c r="Q26" s="2"/>
      <c r="R26" s="2"/>
      <c r="S26" s="2"/>
      <c r="T26" s="202">
        <f>SUM(D26:S26)</f>
        <v>4</v>
      </c>
    </row>
    <row r="27" spans="1:20" ht="15.6" customHeight="1" x14ac:dyDescent="0.25">
      <c r="A27" s="52"/>
      <c r="B27" s="12"/>
      <c r="C27" s="190"/>
      <c r="D27" s="12"/>
      <c r="E27" s="7"/>
      <c r="F27" s="7"/>
      <c r="G27" s="7"/>
      <c r="H27" s="7"/>
      <c r="I27" s="7"/>
      <c r="J27" s="7"/>
      <c r="K27" s="7"/>
      <c r="L27" s="7"/>
      <c r="M27" s="187"/>
      <c r="T27" s="204"/>
    </row>
    <row r="28" spans="1:20" ht="15.75" customHeight="1" x14ac:dyDescent="0.25">
      <c r="A28" s="168" t="s">
        <v>83</v>
      </c>
      <c r="B28" s="34" t="s">
        <v>66</v>
      </c>
      <c r="C28" s="218" t="s">
        <v>75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1</v>
      </c>
      <c r="J28" s="7">
        <v>0</v>
      </c>
      <c r="K28" s="7">
        <v>0</v>
      </c>
      <c r="L28" s="7">
        <v>0</v>
      </c>
      <c r="M28" s="187">
        <v>0</v>
      </c>
      <c r="T28" s="202">
        <f>SUM(D28:S28)</f>
        <v>2</v>
      </c>
    </row>
    <row r="29" spans="1:20" ht="15.75" customHeight="1" x14ac:dyDescent="0.25">
      <c r="A29" s="168"/>
      <c r="B29" s="34" t="s">
        <v>68</v>
      </c>
      <c r="C29" s="218" t="s">
        <v>78</v>
      </c>
      <c r="D29" s="7">
        <v>0</v>
      </c>
      <c r="E29" s="7">
        <v>0</v>
      </c>
      <c r="F29" s="7">
        <v>1</v>
      </c>
      <c r="G29" s="7">
        <v>1</v>
      </c>
      <c r="H29" s="7">
        <v>0</v>
      </c>
      <c r="I29" s="7">
        <v>1</v>
      </c>
      <c r="J29" s="7">
        <v>0</v>
      </c>
      <c r="K29" s="7">
        <v>0</v>
      </c>
      <c r="L29" s="7">
        <v>0</v>
      </c>
      <c r="M29" s="187">
        <v>0</v>
      </c>
      <c r="N29" s="2"/>
      <c r="O29" s="2"/>
      <c r="P29" s="2"/>
      <c r="Q29" s="2"/>
      <c r="R29" s="2"/>
      <c r="S29" s="2"/>
      <c r="T29" s="202">
        <f>SUM(D29:S29)</f>
        <v>3</v>
      </c>
    </row>
    <row r="30" spans="1:20" ht="15.75" customHeight="1" x14ac:dyDescent="0.25">
      <c r="A30" s="168"/>
      <c r="B30" s="34" t="s">
        <v>69</v>
      </c>
      <c r="C30" s="218" t="s">
        <v>75</v>
      </c>
      <c r="D30" s="7">
        <v>0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1</v>
      </c>
      <c r="L30" s="7">
        <v>0</v>
      </c>
      <c r="M30" s="187">
        <v>0</v>
      </c>
      <c r="T30" s="202">
        <f>SUM(D30:S30)</f>
        <v>2</v>
      </c>
    </row>
    <row r="31" spans="1:20" ht="15.75" customHeight="1" x14ac:dyDescent="0.25">
      <c r="A31" s="168"/>
      <c r="B31" s="34" t="s">
        <v>70</v>
      </c>
      <c r="C31" s="218" t="s">
        <v>78</v>
      </c>
      <c r="D31" s="7">
        <v>0</v>
      </c>
      <c r="E31" s="7">
        <v>0</v>
      </c>
      <c r="F31" s="7">
        <v>0</v>
      </c>
      <c r="G31" s="7">
        <v>0</v>
      </c>
      <c r="H31" s="7">
        <v>1</v>
      </c>
      <c r="I31" s="7">
        <v>0</v>
      </c>
      <c r="J31" s="7">
        <v>1</v>
      </c>
      <c r="K31" s="7">
        <v>1</v>
      </c>
      <c r="L31" s="7">
        <v>0</v>
      </c>
      <c r="M31" s="187">
        <v>0</v>
      </c>
      <c r="T31" s="202">
        <f>SUM(D31:S31)</f>
        <v>3</v>
      </c>
    </row>
    <row r="32" spans="1:20" ht="15.6" customHeight="1" x14ac:dyDescent="0.25">
      <c r="A32" s="52"/>
      <c r="B32" s="12"/>
      <c r="C32" s="190"/>
      <c r="D32" s="12"/>
      <c r="E32" s="7"/>
      <c r="F32" s="7"/>
      <c r="G32" s="7"/>
      <c r="H32" s="7"/>
      <c r="I32" s="7"/>
      <c r="J32" s="7"/>
      <c r="K32" s="7"/>
      <c r="L32" s="7"/>
      <c r="M32" s="187"/>
      <c r="T32" s="204"/>
    </row>
    <row r="33" spans="1:20" ht="15.75" customHeight="1" x14ac:dyDescent="0.25">
      <c r="A33" s="170" t="s">
        <v>90</v>
      </c>
      <c r="B33" s="34" t="s">
        <v>66</v>
      </c>
      <c r="C33" s="215" t="s">
        <v>77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2</v>
      </c>
      <c r="L33" s="7">
        <v>2</v>
      </c>
      <c r="M33" s="187">
        <v>1</v>
      </c>
      <c r="T33" s="202">
        <f>SUM(D33:S33)</f>
        <v>5</v>
      </c>
    </row>
    <row r="34" spans="1:20" ht="15.75" customHeight="1" x14ac:dyDescent="0.25">
      <c r="A34" s="170"/>
      <c r="B34" s="34" t="s">
        <v>68</v>
      </c>
      <c r="C34" s="215" t="s">
        <v>78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1</v>
      </c>
      <c r="L34" s="7">
        <v>1</v>
      </c>
      <c r="M34" s="187">
        <v>1</v>
      </c>
      <c r="N34" s="2"/>
      <c r="O34" s="2"/>
      <c r="P34" s="2"/>
      <c r="Q34" s="2"/>
      <c r="R34" s="2"/>
      <c r="S34" s="2"/>
      <c r="T34" s="202">
        <f>SUM(D34:S34)</f>
        <v>3</v>
      </c>
    </row>
    <row r="35" spans="1:20" ht="15.75" customHeight="1" thickBot="1" x14ac:dyDescent="0.3">
      <c r="A35" s="198"/>
      <c r="B35" s="193" t="s">
        <v>69</v>
      </c>
      <c r="C35" s="216" t="s">
        <v>76</v>
      </c>
      <c r="D35" s="119">
        <v>0</v>
      </c>
      <c r="E35" s="195">
        <v>0</v>
      </c>
      <c r="F35" s="195">
        <v>0</v>
      </c>
      <c r="G35" s="195">
        <v>0</v>
      </c>
      <c r="H35" s="195">
        <v>0</v>
      </c>
      <c r="I35" s="195">
        <v>0</v>
      </c>
      <c r="J35" s="195">
        <v>0</v>
      </c>
      <c r="K35" s="195">
        <v>1</v>
      </c>
      <c r="L35" s="195">
        <v>1</v>
      </c>
      <c r="M35" s="196">
        <v>2</v>
      </c>
      <c r="T35" s="205">
        <f>SUM(D35:S35)</f>
        <v>4</v>
      </c>
    </row>
    <row r="36" spans="1:20" ht="15.75" customHeight="1" thickBot="1" x14ac:dyDescent="0.3"/>
    <row r="37" spans="1:20" ht="15.75" customHeight="1" thickBot="1" x14ac:dyDescent="0.3">
      <c r="A37" s="211">
        <v>3</v>
      </c>
      <c r="B37" s="212"/>
      <c r="C37" s="181" t="s">
        <v>139</v>
      </c>
      <c r="D37" s="181"/>
      <c r="E37" s="181"/>
      <c r="F37" s="181"/>
      <c r="G37" s="181"/>
      <c r="H37" s="181"/>
      <c r="I37" s="181"/>
      <c r="J37" s="182"/>
      <c r="K37" s="2"/>
      <c r="L37" s="2"/>
      <c r="M37" s="2"/>
      <c r="N37" s="2"/>
      <c r="O37" s="2"/>
      <c r="P37" s="2"/>
      <c r="Q37" s="2"/>
      <c r="R37" s="2"/>
      <c r="S37" s="2"/>
      <c r="T37" s="35"/>
    </row>
    <row r="38" spans="1:20" ht="15.75" customHeight="1" x14ac:dyDescent="0.25">
      <c r="A38" s="213"/>
      <c r="B38" s="214"/>
      <c r="C38" s="183" t="s">
        <v>16</v>
      </c>
      <c r="D38" s="183" t="s">
        <v>56</v>
      </c>
      <c r="E38" s="183" t="s">
        <v>57</v>
      </c>
      <c r="F38" s="183" t="s">
        <v>58</v>
      </c>
      <c r="G38" s="183" t="s">
        <v>59</v>
      </c>
      <c r="H38" s="183" t="s">
        <v>60</v>
      </c>
      <c r="I38" s="183" t="s">
        <v>22</v>
      </c>
      <c r="J38" s="184" t="s">
        <v>23</v>
      </c>
      <c r="T38" s="207" t="s">
        <v>17</v>
      </c>
    </row>
    <row r="39" spans="1:20" ht="15.75" customHeight="1" x14ac:dyDescent="0.25">
      <c r="A39" s="172" t="s">
        <v>94</v>
      </c>
      <c r="B39" s="34" t="s">
        <v>66</v>
      </c>
      <c r="C39" s="217" t="s">
        <v>75</v>
      </c>
      <c r="D39" s="7">
        <v>1</v>
      </c>
      <c r="E39" s="7">
        <v>0</v>
      </c>
      <c r="F39" s="7">
        <v>0</v>
      </c>
      <c r="G39" s="7">
        <v>1</v>
      </c>
      <c r="H39" s="7">
        <v>0</v>
      </c>
      <c r="I39" s="7">
        <v>0</v>
      </c>
      <c r="J39" s="187">
        <v>0</v>
      </c>
      <c r="T39" s="208">
        <f>SUM(D39:S39)</f>
        <v>2</v>
      </c>
    </row>
    <row r="40" spans="1:20" ht="15.75" customHeight="1" x14ac:dyDescent="0.25">
      <c r="A40" s="172"/>
      <c r="B40" s="34" t="s">
        <v>68</v>
      </c>
      <c r="C40" s="217" t="s">
        <v>78</v>
      </c>
      <c r="D40" s="7">
        <v>1</v>
      </c>
      <c r="E40" s="7">
        <v>0</v>
      </c>
      <c r="F40" s="7">
        <v>1</v>
      </c>
      <c r="G40" s="7">
        <v>1</v>
      </c>
      <c r="H40" s="7">
        <v>0</v>
      </c>
      <c r="I40" s="7">
        <v>0</v>
      </c>
      <c r="J40" s="187">
        <v>0</v>
      </c>
      <c r="K40" s="2"/>
      <c r="L40" s="2"/>
      <c r="M40" s="2"/>
      <c r="N40" s="2"/>
      <c r="O40" s="2"/>
      <c r="P40" s="2"/>
      <c r="Q40" s="2"/>
      <c r="R40" s="2"/>
      <c r="S40" s="2"/>
      <c r="T40" s="208">
        <f>SUM(D40:S40)</f>
        <v>3</v>
      </c>
    </row>
    <row r="41" spans="1:20" ht="15.75" customHeight="1" x14ac:dyDescent="0.25">
      <c r="A41" s="172"/>
      <c r="B41" s="34" t="s">
        <v>69</v>
      </c>
      <c r="C41" s="217" t="s">
        <v>78</v>
      </c>
      <c r="D41" s="7">
        <v>1</v>
      </c>
      <c r="E41" s="7">
        <v>1</v>
      </c>
      <c r="F41" s="7">
        <v>0</v>
      </c>
      <c r="G41" s="7">
        <v>1</v>
      </c>
      <c r="H41" s="7">
        <v>0</v>
      </c>
      <c r="I41" s="7">
        <v>0</v>
      </c>
      <c r="J41" s="187">
        <v>0</v>
      </c>
      <c r="T41" s="208">
        <f>SUM(D41:S41)</f>
        <v>3</v>
      </c>
    </row>
    <row r="42" spans="1:20" ht="15.75" customHeight="1" x14ac:dyDescent="0.25">
      <c r="A42" s="172"/>
      <c r="B42" s="34" t="s">
        <v>70</v>
      </c>
      <c r="C42" s="217" t="s">
        <v>78</v>
      </c>
      <c r="D42" s="7">
        <v>1</v>
      </c>
      <c r="E42" s="7">
        <v>0</v>
      </c>
      <c r="F42" s="7">
        <v>1</v>
      </c>
      <c r="G42" s="7">
        <v>1</v>
      </c>
      <c r="H42" s="7">
        <v>0</v>
      </c>
      <c r="I42" s="7">
        <v>0</v>
      </c>
      <c r="J42" s="187">
        <v>0</v>
      </c>
      <c r="T42" s="208">
        <f>SUM(D42:S42)</f>
        <v>3</v>
      </c>
    </row>
    <row r="43" spans="1:20" ht="15.75" customHeight="1" x14ac:dyDescent="0.25">
      <c r="A43" s="52"/>
      <c r="B43" s="12"/>
      <c r="C43" s="190"/>
      <c r="D43" s="12"/>
      <c r="E43" s="7"/>
      <c r="F43" s="7"/>
      <c r="G43" s="7"/>
      <c r="H43" s="7"/>
      <c r="I43" s="7"/>
      <c r="J43" s="187"/>
      <c r="K43" s="2"/>
      <c r="L43" s="2"/>
      <c r="M43" s="2"/>
      <c r="Q43" s="2"/>
      <c r="R43" s="2"/>
      <c r="S43" s="2"/>
      <c r="T43" s="209"/>
    </row>
    <row r="44" spans="1:20" ht="15.75" customHeight="1" x14ac:dyDescent="0.25">
      <c r="A44" s="174" t="s">
        <v>104</v>
      </c>
      <c r="B44" s="34" t="s">
        <v>66</v>
      </c>
      <c r="C44" s="197" t="s">
        <v>78</v>
      </c>
      <c r="D44" s="7">
        <v>0</v>
      </c>
      <c r="E44" s="7">
        <v>0</v>
      </c>
      <c r="F44" s="7">
        <v>0</v>
      </c>
      <c r="G44" s="7">
        <v>1</v>
      </c>
      <c r="H44" s="7">
        <v>0</v>
      </c>
      <c r="I44" s="7">
        <v>1</v>
      </c>
      <c r="J44" s="187">
        <v>1</v>
      </c>
      <c r="T44" s="208">
        <f>SUM(D44:S44)</f>
        <v>3</v>
      </c>
    </row>
    <row r="45" spans="1:20" ht="15.75" customHeight="1" x14ac:dyDescent="0.25">
      <c r="A45" s="174"/>
      <c r="B45" s="34" t="s">
        <v>68</v>
      </c>
      <c r="C45" s="197" t="s">
        <v>78</v>
      </c>
      <c r="D45" s="7">
        <v>0</v>
      </c>
      <c r="E45" s="7">
        <v>0</v>
      </c>
      <c r="F45" s="7">
        <v>0</v>
      </c>
      <c r="G45" s="7">
        <v>1</v>
      </c>
      <c r="H45" s="7">
        <v>1</v>
      </c>
      <c r="I45" s="7">
        <v>0</v>
      </c>
      <c r="J45" s="187">
        <v>1</v>
      </c>
      <c r="T45" s="208">
        <f>SUM(D45:S45)</f>
        <v>3</v>
      </c>
    </row>
    <row r="46" spans="1:20" ht="15.75" customHeight="1" thickBot="1" x14ac:dyDescent="0.3">
      <c r="A46" s="200"/>
      <c r="B46" s="193" t="s">
        <v>69</v>
      </c>
      <c r="C46" s="199" t="s">
        <v>78</v>
      </c>
      <c r="D46" s="119">
        <v>0</v>
      </c>
      <c r="E46" s="195">
        <v>0</v>
      </c>
      <c r="F46" s="195">
        <v>0</v>
      </c>
      <c r="G46" s="195">
        <v>1</v>
      </c>
      <c r="H46" s="195">
        <v>0</v>
      </c>
      <c r="I46" s="195">
        <v>1</v>
      </c>
      <c r="J46" s="196">
        <v>1</v>
      </c>
      <c r="T46" s="210">
        <f>SUM(D46:S46)</f>
        <v>3</v>
      </c>
    </row>
    <row r="47" spans="1:20" ht="15.75" customHeight="1" x14ac:dyDescent="0.25">
      <c r="B47" s="32"/>
      <c r="C47" s="3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5"/>
    </row>
    <row r="48" spans="1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2:20" ht="15.75" customHeight="1" x14ac:dyDescent="0.25"/>
    <row r="82" spans="2:20" ht="15.75" customHeight="1" x14ac:dyDescent="0.25"/>
    <row r="83" spans="2:20" ht="15.75" customHeight="1" x14ac:dyDescent="0.25"/>
    <row r="84" spans="2:20" ht="15.75" customHeight="1" x14ac:dyDescent="0.25"/>
    <row r="85" spans="2:20" ht="15.75" customHeight="1" x14ac:dyDescent="0.25"/>
    <row r="86" spans="2:20" ht="15.75" customHeight="1" x14ac:dyDescent="0.25"/>
    <row r="87" spans="2:20" ht="15.75" customHeight="1" x14ac:dyDescent="0.25"/>
    <row r="88" spans="2:20" ht="15.75" customHeight="1" x14ac:dyDescent="0.25"/>
    <row r="89" spans="2:20" ht="15.75" customHeight="1" x14ac:dyDescent="0.25"/>
    <row r="90" spans="2:20" ht="15.75" customHeight="1" x14ac:dyDescent="0.25"/>
    <row r="91" spans="2:20" ht="15.75" customHeight="1" x14ac:dyDescent="0.25"/>
    <row r="92" spans="2:20" ht="15.75" customHeight="1" x14ac:dyDescent="0.25"/>
    <row r="93" spans="2:20" ht="15.75" customHeight="1" x14ac:dyDescent="0.25"/>
    <row r="94" spans="2:20" ht="15.75" customHeight="1" x14ac:dyDescent="0.25">
      <c r="B94" s="176" t="s">
        <v>18</v>
      </c>
      <c r="C94" s="177">
        <f>SUM(C4:C7,C9:C13,C15:C19,C19,C23:C26,C28:C31,C31,C33:C35,C39:C42,C44:C46)</f>
        <v>0</v>
      </c>
      <c r="D94" s="178">
        <f>C94-SUM(D97)</f>
        <v>0</v>
      </c>
      <c r="E94" s="178">
        <f>D94-SUM(E4:E6,E8:E9,E11:E13,E15:E16, E18:E19, E24, E26,E27,E25)</f>
        <v>-5</v>
      </c>
      <c r="F94" s="178">
        <f>E94-SUM(F4:F6,F8:F9,F11:F13,F15:F16, F18:F19, F24, F26,F27,F25)</f>
        <v>-9</v>
      </c>
      <c r="G94" s="178">
        <f>F94-SUM(G4:G6,G8:G9,G11:G13,G15:G16, G18:G19, G24, G26,G27,G25)</f>
        <v>-9</v>
      </c>
      <c r="H94" s="178">
        <f>G94-SUM(H4:H6,H8:H9,H11:H13,H15:H16, H18:H19, H24, H26,H27,H25)</f>
        <v>-9</v>
      </c>
      <c r="I94" s="178">
        <f>H94-SUM(I4:I6,I8:I9,I11:I13,I15:I16, I18:I19, I24, I26,I27,I25)</f>
        <v>-10</v>
      </c>
      <c r="J94" s="178">
        <f>I94-SUM(J4:J6,J8:J9,J11:J13,J15:J16, J18:J19, J24, J26,J27,J25)</f>
        <v>-14</v>
      </c>
      <c r="K94" s="178">
        <f>J94-SUM(K4:K6,K8:K9,K11:K13,K15:K16, K18:K19, K24, K26,K27,K25)</f>
        <v>-18</v>
      </c>
      <c r="L94" s="178">
        <f>K94-SUM(L4:L6,L8:L9,L11:L13,L15:L16, L18:L19, L24, L26,L27,L25)</f>
        <v>-22</v>
      </c>
      <c r="M94" s="178">
        <f>L94-SUM(M4:M6,M8:M9,M11:M13,M15:M16, M18:M19, M24, M26,M27,M25)</f>
        <v>-26</v>
      </c>
      <c r="N94" s="178">
        <f>M94-SUM(N4:N6,N8:N9,N11:N13,N15:N16, N18:N19, N24, N26,N27,N25)</f>
        <v>-31</v>
      </c>
      <c r="O94" s="178">
        <f>N94-SUM(O4:O6,O8:O9,O11:O13,O15:O16, O18:O19, O24, O26,O27,O25)</f>
        <v>-33</v>
      </c>
      <c r="P94" s="178">
        <f>O94-SUM(P4:P6,P8:P9,P11:P13,P15:P16, P18:P19, P24, P26,P27,P25)</f>
        <v>-37</v>
      </c>
      <c r="Q94" s="178">
        <f>P94-SUM(Q4:Q6,Q8:Q9,Q11:Q13,Q15:Q16, Q18:Q19, Q24, Q26,Q27,Q25)</f>
        <v>-39</v>
      </c>
      <c r="R94" s="178">
        <f>Q94-SUM(R4:R6,R8:R9,R11:R13,R15:R16, R18:R19, R24, R26,R27,R25)</f>
        <v>-41</v>
      </c>
      <c r="S94" s="178">
        <f>R94-SUM(S4:S6,S8:S9,S11:S13,S15:S16, S18:S19, S24, S26,S27,S25)</f>
        <v>-45</v>
      </c>
      <c r="T94" s="179">
        <f>SUM(D94:S94)</f>
        <v>-348</v>
      </c>
    </row>
    <row r="95" spans="2:20" ht="15.75" customHeight="1" x14ac:dyDescent="0.25">
      <c r="B95" s="231" t="s">
        <v>19</v>
      </c>
      <c r="C95" s="177">
        <f>SUM(C4:C27)</f>
        <v>0</v>
      </c>
      <c r="D95" s="180">
        <f>C95-(SUM($C$4:$C$6,$C$8:$C$9,$C$11:$C$13,$C$15:$C$16,$C$18:$C$19:$C$24,$C26:$C27, $C25)/30)</f>
        <v>0</v>
      </c>
      <c r="E95" s="180">
        <f>D95-(SUM($C$4:$C$6,$C$8:$C$9,$C$11:$C$13,$C$15:$C$16,$C$18:$C$19:$C$24,$C26:$C27, $C25)/30)</f>
        <v>0</v>
      </c>
      <c r="F95" s="180">
        <f>E95-(SUM($C$4:$C$6,$C$8:$C$9,$C$11:$C$13,$C$15:$C$16,$C$18:$C$19:$C$24,$C26:$C27, $C25)/30)</f>
        <v>0</v>
      </c>
      <c r="G95" s="180">
        <f>F95-(SUM($C$4:$C$6,$C$8:$C$9,$C$11:$C$13,$C$15:$C$16,$C$18:$C$19:$C$24,$C26:$C27, $C25)/30)</f>
        <v>0</v>
      </c>
      <c r="H95" s="180">
        <f>G95-(SUM($C$4:$C$6,$C$8:$C$9,$C$11:$C$13,$C$15:$C$16,$C$18:$C$19:$C$24,$C26:$C27, $C25)/30)</f>
        <v>0</v>
      </c>
      <c r="I95" s="180">
        <f>H95-(SUM($C$4:$C$6,$C$8:$C$9,$C$11:$C$13,$C$15:$C$16,$C$18:$C$19:$C$24,$C26:$C27, $C25)/30)</f>
        <v>0</v>
      </c>
      <c r="J95" s="180">
        <f>I95-(SUM($C$4:$C$6,$C$8:$C$9,$C$11:$C$13,$C$15:$C$16,$C$18:$C$19:$C$24,$C26:$C27, $C25)/30)</f>
        <v>0</v>
      </c>
      <c r="K95" s="180">
        <f>J95-(SUM($C$4:$C$6,$C$8:$C$9,$C$11:$C$13,$C$15:$C$16,$C$18:$C$19:$C$24,$C26:$C27, $C25)/30)</f>
        <v>0</v>
      </c>
      <c r="L95" s="180">
        <f>K95-(SUM($C$4:$C$6,$C$8:$C$9,$C$11:$C$13,$C$15:$C$16,$C$18:$C$19:$C$24,$C26:$C27, $C25)/30)</f>
        <v>0</v>
      </c>
      <c r="M95" s="180">
        <f>L95-(SUM($C$4:$C$6,$C$8:$C$9,$C$11:$C$13,$C$15:$C$16,$C$18:$C$19:$C$24,$C26:$C27, $C25)/30)</f>
        <v>0</v>
      </c>
      <c r="N95" s="180">
        <f>M95-(SUM($C$4:$C$6,$C$8:$C$9,$C$11:$C$13,$C$15:$C$16,$C$18:$C$19:$C$24,$C26:$C27, $C25)/30)</f>
        <v>0</v>
      </c>
      <c r="O95" s="180">
        <f>N95-(SUM($C$4:$C$6,$C$8:$C$9,$C$11:$C$13,$C$15:$C$16,$C$18:$C$19:$C$24,$C26:$C27, $C25)/30)</f>
        <v>0</v>
      </c>
      <c r="P95" s="180">
        <f>O95-(SUM($C$4:$C$6,$C$8:$C$9,$C$11:$C$13,$C$15:$C$16,$C$18:$C$19:$C$24,$C26:$C27, $C25)/30)</f>
        <v>0</v>
      </c>
      <c r="Q95" s="180">
        <f>P95-(SUM($C$4:$C$6,$C$8:$C$9,$C$11:$C$13,$C$15:$C$16,$C$18:$C$19:$C$24,$C26:$C27, $C25)/30)</f>
        <v>0</v>
      </c>
      <c r="R95" s="180">
        <f>Q95-(SUM($C$4:$C$6,$C$8:$C$9,$C$11:$C$13,$C$15:$C$16,$C$18:$C$19:$C$24,$C26:$C27, $C25)/30)</f>
        <v>0</v>
      </c>
      <c r="S95" s="180">
        <f>R95-(SUM($C$4:$C$6,$C$8:$C$9,$C$11:$C$13,$C$15:$C$16,$C$18:$C$19:$C$24,$C26:$C27, $C25)/30)</f>
        <v>0</v>
      </c>
      <c r="T95" s="179">
        <f>SUM(D95:S95)</f>
        <v>0</v>
      </c>
    </row>
    <row r="96" spans="2:20" ht="15.75" customHeight="1" x14ac:dyDescent="0.25"/>
    <row r="97" spans="2:8" ht="15.75" customHeight="1" x14ac:dyDescent="0.25"/>
    <row r="98" spans="2:8" ht="15.75" customHeight="1" x14ac:dyDescent="0.25"/>
    <row r="99" spans="2:8" ht="15.75" customHeight="1" x14ac:dyDescent="0.25">
      <c r="B99" s="5"/>
      <c r="C99" s="1"/>
      <c r="D99" s="1"/>
      <c r="E99" s="1"/>
      <c r="F99" s="1"/>
      <c r="G99" s="1"/>
      <c r="H99" s="1"/>
    </row>
    <row r="100" spans="2:8" ht="15.75" customHeight="1" x14ac:dyDescent="0.25"/>
    <row r="101" spans="2:8" ht="15.75" customHeight="1" x14ac:dyDescent="0.25">
      <c r="B101" s="5"/>
      <c r="C101" s="1"/>
      <c r="D101" s="1"/>
      <c r="E101" s="1"/>
      <c r="F101" s="1"/>
      <c r="G101" s="1"/>
      <c r="H101" s="1"/>
    </row>
    <row r="102" spans="2:8" ht="15.75" customHeight="1" x14ac:dyDescent="0.25">
      <c r="B102" s="5"/>
      <c r="C102" s="1"/>
      <c r="D102" s="1"/>
      <c r="E102" s="1"/>
      <c r="F102" s="1"/>
      <c r="G102" s="1"/>
      <c r="H102" s="1"/>
    </row>
    <row r="103" spans="2:8" ht="15.75" customHeight="1" x14ac:dyDescent="0.25"/>
    <row r="104" spans="2:8" ht="15.75" customHeight="1" x14ac:dyDescent="0.25">
      <c r="B104" s="8"/>
      <c r="C104" s="8"/>
      <c r="D104" s="8"/>
      <c r="E104" s="8"/>
      <c r="F104" s="8"/>
      <c r="G104" s="8"/>
    </row>
    <row r="105" spans="2:8" ht="15.75" customHeight="1" x14ac:dyDescent="0.25">
      <c r="B105" s="8"/>
      <c r="C105" s="8"/>
      <c r="D105" s="8"/>
      <c r="E105" s="8"/>
      <c r="F105" s="8"/>
      <c r="G105" s="8"/>
    </row>
    <row r="106" spans="2:8" ht="15.75" customHeight="1" x14ac:dyDescent="0.25">
      <c r="B106" s="8"/>
      <c r="C106" s="8"/>
      <c r="D106" s="8"/>
      <c r="E106" s="8"/>
      <c r="F106" s="8"/>
      <c r="G106" s="8"/>
    </row>
    <row r="107" spans="2:8" ht="15.75" customHeight="1" x14ac:dyDescent="0.25">
      <c r="B107" s="8"/>
      <c r="C107" s="8"/>
      <c r="D107" s="8"/>
      <c r="E107" s="8"/>
      <c r="F107" s="8"/>
      <c r="G107" s="8"/>
    </row>
    <row r="108" spans="2:8" ht="15.75" customHeight="1" x14ac:dyDescent="0.25">
      <c r="B108" s="8"/>
      <c r="C108" s="8"/>
      <c r="D108" s="8"/>
      <c r="E108" s="8"/>
      <c r="F108" s="8"/>
      <c r="G108" s="8"/>
    </row>
    <row r="109" spans="2:8" ht="15.75" customHeight="1" x14ac:dyDescent="0.25">
      <c r="B109" s="8"/>
      <c r="C109" s="8"/>
      <c r="D109" s="8"/>
      <c r="E109" s="8"/>
      <c r="F109" s="8"/>
      <c r="G109" s="8"/>
    </row>
    <row r="110" spans="2:8" ht="15.75" customHeight="1" x14ac:dyDescent="0.25">
      <c r="B110" s="8"/>
      <c r="C110" s="8"/>
      <c r="D110" s="8"/>
      <c r="E110" s="8"/>
      <c r="F110" s="8"/>
      <c r="G110" s="8"/>
    </row>
    <row r="111" spans="2:8" ht="15.75" customHeight="1" x14ac:dyDescent="0.25">
      <c r="B111" s="8"/>
      <c r="C111" s="8"/>
      <c r="D111" s="8"/>
      <c r="E111" s="8"/>
      <c r="F111" s="8"/>
      <c r="G111" s="8"/>
    </row>
    <row r="112" spans="2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</sheetData>
  <mergeCells count="14">
    <mergeCell ref="A39:A42"/>
    <mergeCell ref="A44:A46"/>
    <mergeCell ref="A2:B3"/>
    <mergeCell ref="A21:B22"/>
    <mergeCell ref="A37:B38"/>
    <mergeCell ref="C21:M21"/>
    <mergeCell ref="A4:A7"/>
    <mergeCell ref="A9:A13"/>
    <mergeCell ref="A15:A19"/>
    <mergeCell ref="C2:S2"/>
    <mergeCell ref="C37:J37"/>
    <mergeCell ref="A23:A26"/>
    <mergeCell ref="A28:A31"/>
    <mergeCell ref="A33:A35"/>
  </mergeCells>
  <phoneticPr fontId="4" type="noConversion"/>
  <pageMargins left="0.7" right="0.7" top="0.75" bottom="0.75" header="0" footer="0"/>
  <pageSetup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2026-01-29T05:47:10Z</dcterms:modified>
</cp:coreProperties>
</file>