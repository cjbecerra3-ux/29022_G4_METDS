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BCF53D9-384F-4F1F-AE02-3BFC3A118C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" i="3" l="1"/>
  <c r="AH10" i="3"/>
  <c r="AH17" i="3"/>
  <c r="AH23" i="3"/>
  <c r="AH24" i="3"/>
  <c r="AH22" i="3"/>
  <c r="C28" i="3"/>
  <c r="C27" i="3"/>
  <c r="D28" i="3" l="1"/>
  <c r="D27" i="3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/>
  <c r="AH21" i="3"/>
  <c r="AH19" i="3"/>
  <c r="AH18" i="3"/>
  <c r="AH27" i="3" l="1"/>
  <c r="AH28" i="3"/>
  <c r="AH16" i="3"/>
  <c r="AH15" i="3"/>
  <c r="AH13" i="3"/>
  <c r="AH12" i="3"/>
  <c r="AH11" i="3"/>
  <c r="AH9" i="3"/>
  <c r="AH5" i="3" l="1"/>
  <c r="AH6" i="3"/>
</calcChain>
</file>

<file path=xl/sharedStrings.xml><?xml version="1.0" encoding="utf-8"?>
<sst xmlns="http://schemas.openxmlformats.org/spreadsheetml/2006/main" count="369" uniqueCount="177">
  <si>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</si>
  <si>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</si>
  <si>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</si>
  <si>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</si>
  <si>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</si>
  <si>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</si>
  <si>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</si>
  <si>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</si>
  <si>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</si>
  <si>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</si>
  <si>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</si>
  <si>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</si>
  <si>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</si>
  <si>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</si>
  <si>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</si>
  <si>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</si>
  <si>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</si>
  <si>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</si>
  <si>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</si>
  <si>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</si>
  <si>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</si>
  <si>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</si>
  <si>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</si>
  <si>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</si>
  <si>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</si>
  <si>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</si>
  <si>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</si>
  <si>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</si>
  <si>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</si>
  <si>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</si>
  <si>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</si>
  <si>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</si>
  <si>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</si>
  <si>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</si>
  <si>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</si>
  <si>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</si>
  <si>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</si>
  <si>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</si>
  <si>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</si>
  <si>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</si>
  <si>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</si>
  <si>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</si>
  <si>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</si>
  <si>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</si>
  <si>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</si>
  <si>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RQ001-1</t>
  </si>
  <si>
    <t>RQ001-2</t>
  </si>
  <si>
    <t>RQ001-3</t>
  </si>
  <si>
    <t>RQ001-4</t>
  </si>
  <si>
    <t>Cada pedido debe mostrar detalles completos de la comanda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</si>
  <si>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</si>
  <si>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</si>
  <si>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</si>
  <si>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</si>
  <si>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</si>
  <si>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</si>
  <si>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</si>
  <si>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</si>
  <si>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</si>
  <si>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</si>
  <si>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Vizualizar las comandas y el estado en tiempo real.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</si>
  <si>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</si>
  <si>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</si>
  <si>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</si>
  <si>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</si>
  <si>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</si>
  <si>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 xml:space="preserve"> Analizar los reportes diarios, para un mejor control de las comandas realizadas y sus totales.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</si>
  <si>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</si>
  <si>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</si>
  <si>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</si>
  <si>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</si>
  <si>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</si>
  <si>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</si>
  <si>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</si>
  <si>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</si>
  <si>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</si>
  <si>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</si>
  <si>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</si>
  <si>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</si>
  <si>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</si>
  <si>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</si>
  <si>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</si>
  <si>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</si>
  <si>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</si>
  <si>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</si>
  <si>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</si>
  <si>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</si>
  <si>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</si>
  <si>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</si>
  <si>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</si>
  <si>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</si>
  <si>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</si>
  <si>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</si>
  <si>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</si>
  <si>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</si>
  <si>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</si>
  <si>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</si>
  <si>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</si>
  <si>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</si>
  <si>
    <t>Visualizar las comandas y el estado en tiempo real.</t>
  </si>
  <si>
    <t xml:space="preserve"> Visualizar y tener un seguimiento del estado actual de la comanda. </t>
  </si>
  <si>
    <t>Inicio de sesión</t>
  </si>
  <si>
    <t>Visualización de Comandas</t>
  </si>
  <si>
    <t>El sistema debe validar que el usuario y la contraseña ingresados sean correctos</t>
  </si>
  <si>
    <t xml:space="preserve"> </t>
  </si>
  <si>
    <t>El campo de contraseña debe mostrarse enmascarado con asteriscos por seguridad (••••)</t>
  </si>
  <si>
    <t>El sistema debe mostrar el mensaje 'Credenciales incorrectas' cuando las credenciales sean inválidas</t>
  </si>
  <si>
    <t>El sistema debe bloquearse automáticamente por 30 segundos después de 3 intentos fallidos de inicio de sesión</t>
  </si>
  <si>
    <t>La pantalla debe mostrar dos secciones: "Pedidos en Proceso" en rojo y "Pedidos Listos" en verde</t>
  </si>
  <si>
    <t>El botón "Realizado" debe cambiar pedidos de "en proceso" a "Realizados"</t>
  </si>
  <si>
    <t>El botón "Generar reporte" debe mostrar el reporte en formato PDF</t>
  </si>
  <si>
    <t>La interfaz debe mostrar todos los productos con precios visibles y un selector de cantidades</t>
  </si>
  <si>
    <t>La comanda debe permitir recolectar datos del pedido, incluyendo nombre del cliente, platos, cantidades y precios</t>
  </si>
  <si>
    <t>La interfaz debe incluir un campo para comentarios o peticiones especiales del cliente</t>
  </si>
  <si>
    <t>El resumen debe mostrar la comanda con cálculo automático del precio total</t>
  </si>
  <si>
    <t>El botón de confirmación debe generar y guardar la comanda en la base de datos</t>
  </si>
  <si>
    <t>Los pedidos deben organizarse en orden de llegada</t>
  </si>
  <si>
    <t>Los cambios deben reflejarse en tiempo real al actualizar el estado</t>
  </si>
  <si>
    <t>El reporte debe generar un listado diario con platos vendidos, precios y cantidades</t>
  </si>
  <si>
    <t>El reporte debe calcular y mostrar el total general de ventas del día</t>
  </si>
  <si>
    <t>El reporte debe incluir datos de hora de cada comanda generada</t>
  </si>
  <si>
    <t>RQ004-5</t>
  </si>
  <si>
    <t>Crear la interfaz de generador de reportes diarios que contendra la busqueda por fecha, tipo de reporte y el botón generar reporte</t>
  </si>
  <si>
    <t>RQ005</t>
  </si>
  <si>
    <t>Actualización de Credenciales</t>
  </si>
  <si>
    <t>Modificar credenciales (usuario y contraseña) de cada empleado.</t>
  </si>
  <si>
    <t>Garantizar que los usuarios puedan mantener sus datos de acceso actualizados y seguros.</t>
  </si>
  <si>
    <t>Media</t>
  </si>
  <si>
    <t>Pendiente</t>
  </si>
  <si>
    <t>RQ005-1</t>
  </si>
  <si>
    <t>RQ005-2</t>
  </si>
  <si>
    <t>RQ005-3</t>
  </si>
  <si>
    <t>RQ005-4</t>
  </si>
  <si>
    <t>RQ005-5</t>
  </si>
  <si>
    <t>RQ006</t>
  </si>
  <si>
    <t>Crear apartados en la pantalla con dos botones: "Cambiar Usuario" y "Cambiar Contraseña"</t>
  </si>
  <si>
    <t>Para contraseña, pedirla dos veces (Nueva Contraseña y Confirmar Contraseña) para evitar errores</t>
  </si>
  <si>
    <t>Creacion del boton "Guardar Cambios" debe actualizar las credenciales en la base de datos si todas las validaciones son exitosas</t>
  </si>
  <si>
    <t>Mostrar mensaje de "Cambio exitoso" y permitir entrar al sistema con las nuevas credenciales</t>
  </si>
  <si>
    <t>El sistema debe validar cuando se ingrese en cualquier botón, mostrar preguntas de seguridad para confirmar su identidad</t>
  </si>
  <si>
    <t>SPRINT 6</t>
  </si>
  <si>
    <t>Modificar mis credenciales (usuario y contraseña) de forma segura</t>
  </si>
  <si>
    <t>Mantener mis datos de acceso actualizados y protegidos</t>
  </si>
  <si>
    <t>RQ007</t>
  </si>
  <si>
    <t>Control de Tiempos</t>
  </si>
  <si>
    <t>Registrar y visualizar el tiempo de preparación de cada comanda</t>
  </si>
  <si>
    <t>Medir la eficiencia del servicio y optimizar tiempos de atención</t>
  </si>
  <si>
    <t>RQ007-1</t>
  </si>
  <si>
    <t>Modificar la base de datos para agregar campos de hora de inicio y fin a cada comanda</t>
  </si>
  <si>
    <t>RQ007-2</t>
  </si>
  <si>
    <t>Configurar sistema para registrar hora automática al crear nueva comanda</t>
  </si>
  <si>
    <t>RQ007-3</t>
  </si>
  <si>
    <t>Al marcar comanda como "Realizado", registrar hora final y calcular tiempo total</t>
  </si>
  <si>
    <t>RQ007-4</t>
  </si>
  <si>
    <t>Mostrar tiempo transcurrido en pantalla de seguimiento de comandas</t>
  </si>
  <si>
    <t>RQ007-5</t>
  </si>
  <si>
    <t>Generar reporte de tiempos promedio por tipo de plato</t>
  </si>
  <si>
    <t>RQ008</t>
  </si>
  <si>
    <t>Categorización Menú</t>
  </si>
  <si>
    <t>Organizar los platos en categorías (entradas, principales, postres, bebidas)</t>
  </si>
  <si>
    <t>Facilitar la navegación y selección de platos para agilizar pedidos</t>
  </si>
  <si>
    <t>RQ008-1</t>
  </si>
  <si>
    <t>Crear tabla de categorías en base de datos y relación con productos</t>
  </si>
  <si>
    <t>RQ008-2</t>
  </si>
  <si>
    <t>Desarrollar interfaz de administración para crear/editar categorías</t>
  </si>
  <si>
    <t>RQ008-3</t>
  </si>
  <si>
    <t>Modificar interfaz de comandas para mostrar pestañas de categorías</t>
  </si>
  <si>
    <t>RQ008-4</t>
  </si>
  <si>
    <t>Implementar filtrado de productos por categoría seleccionada</t>
  </si>
  <si>
    <t>RQ008-5</t>
  </si>
  <si>
    <t>Permitir asignar categoría a productos nuevos desde panel de administración</t>
  </si>
  <si>
    <t>SPRINT 7</t>
  </si>
  <si>
    <t>SPRINT 5</t>
  </si>
  <si>
    <t>Registrar tiempo de preparación de cada comanda</t>
  </si>
  <si>
    <t>Medir eficiencia y optimizar tiempos de atención</t>
  </si>
  <si>
    <t>Organizar platos en categorías</t>
  </si>
  <si>
    <t>Facilitar navegación y agilizar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</si>
</sst>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theme="4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9595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/>
      <bottom/>
      <diagonal/>
    </border>
    <border>
      <left/>
      <right/>
      <top style="thin">
        <color theme="6" tint="0.7999816888943144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1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1" xfId="0" applyFont="1" applyBorder="1"/>
    <xf numFmtId="0" fontId="12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0" fillId="0" borderId="0" xfId="0" applyAlignment="1">
      <alignment horizontal="center" vertical="center"/>
    </xf>
    <xf numFmtId="0" fontId="14" fillId="6" borderId="0" xfId="0" applyFont="1" applyFill="1"/>
    <xf numFmtId="0" fontId="1" fillId="5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16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  <xf numFmtId="0" fontId="1" fillId="15" borderId="0" xfId="0" applyFont="1" applyFill="1" applyAlignment="1">
      <alignment horizontal="center"/>
    </xf>
    <xf numFmtId="0" fontId="14" fillId="16" borderId="0" xfId="0" applyFont="1" applyFill="1"/>
    <xf numFmtId="0" fontId="14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9" fillId="18" borderId="0" xfId="0" applyFont="1" applyFill="1"/>
    <xf numFmtId="0" fontId="7" fillId="18" borderId="0" xfId="0" applyFont="1" applyFill="1"/>
    <xf numFmtId="0" fontId="9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4" fillId="20" borderId="0" xfId="0" applyFont="1" applyFill="1" applyAlignment="1">
      <alignment vertical="center"/>
    </xf>
    <xf numFmtId="0" fontId="14" fillId="20" borderId="0" xfId="0" applyFont="1" applyFill="1" applyAlignment="1">
      <alignment vertical="center" wrapText="1"/>
    </xf>
    <xf numFmtId="0" fontId="14" fillId="20" borderId="0" xfId="0" applyFont="1" applyFill="1"/>
    <xf numFmtId="0" fontId="14" fillId="20" borderId="0" xfId="0" applyFont="1" applyFill="1" applyAlignment="1">
      <alignment horizontal="center" vertical="center"/>
    </xf>
    <xf numFmtId="0" fontId="9" fillId="21" borderId="0" xfId="0" applyFont="1" applyFill="1"/>
    <xf numFmtId="0" fontId="7" fillId="21" borderId="0" xfId="0" applyFont="1" applyFill="1"/>
    <xf numFmtId="0" fontId="9" fillId="21" borderId="0" xfId="0" applyFont="1" applyFill="1" applyAlignment="1">
      <alignment horizontal="center"/>
    </xf>
    <xf numFmtId="0" fontId="14" fillId="11" borderId="0" xfId="0" applyFont="1" applyFill="1"/>
    <xf numFmtId="0" fontId="15" fillId="11" borderId="0" xfId="0" applyFont="1" applyFill="1"/>
    <xf numFmtId="0" fontId="9" fillId="22" borderId="0" xfId="0" applyFont="1" applyFill="1"/>
    <xf numFmtId="0" fontId="7" fillId="22" borderId="0" xfId="0" applyFont="1" applyFill="1"/>
    <xf numFmtId="0" fontId="14" fillId="6" borderId="0" xfId="0" applyFont="1" applyFill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0" fontId="1" fillId="23" borderId="0" xfId="0" applyFont="1" applyFill="1" applyAlignment="1">
      <alignment horizontal="center"/>
    </xf>
    <xf numFmtId="0" fontId="21" fillId="24" borderId="0" xfId="0" applyFont="1" applyFill="1" applyAlignment="1">
      <alignment horizontal="left" vertical="center" wrapText="1" indent="1"/>
    </xf>
    <xf numFmtId="0" fontId="9" fillId="25" borderId="0" xfId="0" applyFont="1" applyFill="1"/>
    <xf numFmtId="0" fontId="7" fillId="25" borderId="0" xfId="0" applyFont="1" applyFill="1"/>
    <xf numFmtId="0" fontId="9" fillId="25" borderId="0" xfId="0" applyFont="1" applyFill="1" applyAlignment="1">
      <alignment horizontal="center"/>
    </xf>
    <xf numFmtId="0" fontId="21" fillId="7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center"/>
    </xf>
    <xf numFmtId="0" fontId="14" fillId="0" borderId="2" xfId="0" applyFont="1" applyBorder="1"/>
    <xf numFmtId="0" fontId="15" fillId="0" borderId="2" xfId="0" applyFont="1" applyBorder="1"/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21" fillId="7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 indent="1"/>
    </xf>
    <xf numFmtId="0" fontId="17" fillId="0" borderId="0" xfId="0" applyFont="1"/>
    <xf numFmtId="0" fontId="23" fillId="0" borderId="0" xfId="0" applyFont="1"/>
    <xf numFmtId="0" fontId="23" fillId="0" borderId="1" xfId="0" applyFont="1" applyFill="1" applyBorder="1"/>
    <xf numFmtId="0" fontId="24" fillId="0" borderId="0" xfId="0" applyFont="1"/>
    <xf numFmtId="0" fontId="24" fillId="0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18" fillId="7" borderId="6" xfId="0" applyFont="1" applyFill="1" applyBorder="1" applyAlignment="1">
      <alignment horizontal="left" vertical="center" wrapText="1" indent="1"/>
    </xf>
    <xf numFmtId="0" fontId="18" fillId="7" borderId="6" xfId="0" applyFont="1" applyFill="1" applyBorder="1" applyAlignment="1">
      <alignment horizontal="left" vertical="center" wrapText="1" inden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16" xfId="0" applyBorder="1"/>
    <xf numFmtId="0" fontId="19" fillId="0" borderId="15" xfId="0" applyFont="1" applyBorder="1" applyAlignment="1">
      <alignment horizontal="center"/>
    </xf>
    <xf numFmtId="0" fontId="0" fillId="0" borderId="14" xfId="0" applyBorder="1"/>
    <xf numFmtId="0" fontId="0" fillId="0" borderId="1" xfId="0" applyBorder="1"/>
    <xf numFmtId="0" fontId="22" fillId="7" borderId="11" xfId="0" applyFont="1" applyFill="1" applyBorder="1" applyAlignment="1">
      <alignment horizontal="left" vertical="center" wrapText="1" indent="1"/>
    </xf>
    <xf numFmtId="0" fontId="22" fillId="7" borderId="14" xfId="0" applyFont="1" applyFill="1" applyBorder="1" applyAlignment="1">
      <alignment horizontal="left" vertical="center" wrapText="1" indent="1"/>
    </xf>
    <xf numFmtId="0" fontId="22" fillId="7" borderId="13" xfId="0" applyFont="1" applyFill="1" applyBorder="1" applyAlignment="1">
      <alignment horizontal="left" vertical="center" wrapText="1" indent="1"/>
    </xf>
    <xf numFmtId="0" fontId="1" fillId="26" borderId="0" xfId="0" applyFont="1" applyFill="1" applyAlignment="1">
      <alignment horizontal="center"/>
    </xf>
    <xf numFmtId="0" fontId="21" fillId="27" borderId="1" xfId="0" applyFont="1" applyFill="1" applyBorder="1" applyAlignment="1">
      <alignment horizontal="left" vertical="center" wrapText="1" indent="1"/>
    </xf>
    <xf numFmtId="0" fontId="9" fillId="28" borderId="0" xfId="0" applyFont="1" applyFill="1"/>
    <xf numFmtId="0" fontId="7" fillId="28" borderId="0" xfId="0" applyFont="1" applyFill="1"/>
    <xf numFmtId="0" fontId="9" fillId="28" borderId="0" xfId="0" applyFont="1" applyFill="1" applyAlignment="1">
      <alignment horizontal="center"/>
    </xf>
    <xf numFmtId="0" fontId="21" fillId="28" borderId="6" xfId="0" applyFont="1" applyFill="1" applyBorder="1" applyAlignment="1">
      <alignment horizontal="left" vertical="center" wrapText="1" indent="1"/>
    </xf>
    <xf numFmtId="0" fontId="21" fillId="28" borderId="12" xfId="0" applyFont="1" applyFill="1" applyBorder="1" applyAlignment="1">
      <alignment horizontal="left" vertical="center" wrapText="1" indent="1"/>
    </xf>
    <xf numFmtId="0" fontId="21" fillId="28" borderId="8" xfId="0" applyFont="1" applyFill="1" applyBorder="1" applyAlignment="1">
      <alignment horizontal="left" vertical="center" wrapText="1" indent="1"/>
    </xf>
    <xf numFmtId="0" fontId="21" fillId="28" borderId="10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/>
    </xf>
    <xf numFmtId="0" fontId="21" fillId="7" borderId="17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colors>
    <mruColors>
      <color rgb="FFCCCCFF"/>
      <color rgb="FF0000CC"/>
      <color rgb="FFFF99FF"/>
      <color rgb="FFFF00FF"/>
      <color rgb="FFFF66FF"/>
      <color rgb="FFCC00CC"/>
      <color rgb="FFFFC5C5"/>
      <color rgb="FFFD9595"/>
      <color rgb="FFFB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0.0</c:formatCode>
                <c:ptCount val="31"/>
                <c:pt idx="0" formatCode="General">
                  <c:v>5</c:v>
                </c:pt>
                <c:pt idx="1">
                  <c:v>4.833333333333333</c:v>
                </c:pt>
                <c:pt idx="2">
                  <c:v>4.6666666666666661</c:v>
                </c:pt>
                <c:pt idx="3">
                  <c:v>4.4999999999999991</c:v>
                </c:pt>
                <c:pt idx="4">
                  <c:v>4.3333333333333321</c:v>
                </c:pt>
                <c:pt idx="5">
                  <c:v>4.1666666666666652</c:v>
                </c:pt>
                <c:pt idx="6">
                  <c:v>3.9999999999999987</c:v>
                </c:pt>
                <c:pt idx="7">
                  <c:v>3.8333333333333321</c:v>
                </c:pt>
                <c:pt idx="8">
                  <c:v>3.6666666666666656</c:v>
                </c:pt>
                <c:pt idx="9">
                  <c:v>3.4999999999999991</c:v>
                </c:pt>
                <c:pt idx="10">
                  <c:v>3.3333333333333326</c:v>
                </c:pt>
                <c:pt idx="11">
                  <c:v>3.1666666666666661</c:v>
                </c:pt>
                <c:pt idx="12">
                  <c:v>2.9999999999999996</c:v>
                </c:pt>
                <c:pt idx="13">
                  <c:v>2.833333333333333</c:v>
                </c:pt>
                <c:pt idx="14">
                  <c:v>2.6666666666666665</c:v>
                </c:pt>
                <c:pt idx="15">
                  <c:v>2.5</c:v>
                </c:pt>
                <c:pt idx="16">
                  <c:v>2.3333333333333335</c:v>
                </c:pt>
                <c:pt idx="17">
                  <c:v>2.166666666666667</c:v>
                </c:pt>
                <c:pt idx="18">
                  <c:v>2.0000000000000004</c:v>
                </c:pt>
                <c:pt idx="19">
                  <c:v>1.8333333333333337</c:v>
                </c:pt>
                <c:pt idx="20">
                  <c:v>1.666666666666667</c:v>
                </c:pt>
                <c:pt idx="21">
                  <c:v>1.5000000000000002</c:v>
                </c:pt>
                <c:pt idx="22">
                  <c:v>1.3333333333333335</c:v>
                </c:pt>
                <c:pt idx="23">
                  <c:v>1.1666666666666667</c:v>
                </c:pt>
                <c:pt idx="24">
                  <c:v>1</c:v>
                </c:pt>
                <c:pt idx="25">
                  <c:v>0.83333333333333337</c:v>
                </c:pt>
                <c:pt idx="26">
                  <c:v>0.66666666666666674</c:v>
                </c:pt>
                <c:pt idx="27">
                  <c:v>0.50000000000000011</c:v>
                </c:pt>
                <c:pt idx="28">
                  <c:v>0.33333333333333348</c:v>
                </c:pt>
                <c:pt idx="29">
                  <c:v>0.16666666666666682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H15" sqref="H15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s="6" customFormat="1" ht="15.75" customHeight="1" x14ac:dyDescent="0.3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</row>
    <row r="2" spans="1:8" s="8" customFormat="1" ht="15.75" customHeight="1" x14ac:dyDescent="0.25">
      <c r="A2" s="73" t="s">
        <v>21</v>
      </c>
      <c r="B2" s="73"/>
      <c r="C2" s="73"/>
      <c r="D2" s="73"/>
      <c r="E2" s="73"/>
      <c r="F2" s="73"/>
      <c r="G2" s="73"/>
      <c r="H2" s="73"/>
    </row>
    <row r="3" spans="1:8" ht="15.75" customHeight="1" x14ac:dyDescent="0.25">
      <c r="A3" s="68" t="s">
        <v>50</v>
      </c>
      <c r="B3" s="68" t="s">
        <v>101</v>
      </c>
      <c r="C3" s="68" t="s">
        <v>20</v>
      </c>
      <c r="D3" s="68" t="s">
        <v>51</v>
      </c>
      <c r="E3" s="68" t="s">
        <v>52</v>
      </c>
      <c r="F3" s="69"/>
      <c r="G3" s="68" t="s">
        <v>8</v>
      </c>
      <c r="H3" s="68" t="s">
        <v>41</v>
      </c>
    </row>
    <row r="4" spans="1:8" ht="15.75" customHeight="1" x14ac:dyDescent="0.25">
      <c r="A4" s="73" t="s">
        <v>53</v>
      </c>
      <c r="B4" s="73"/>
      <c r="C4" s="73"/>
      <c r="D4" s="73"/>
      <c r="E4" s="73"/>
      <c r="F4" s="73"/>
      <c r="G4" s="73"/>
      <c r="H4" s="73"/>
    </row>
    <row r="5" spans="1:8" ht="15.75" customHeight="1" x14ac:dyDescent="0.25">
      <c r="A5" s="68" t="s">
        <v>54</v>
      </c>
      <c r="B5" s="68" t="s">
        <v>55</v>
      </c>
      <c r="C5" s="68" t="s">
        <v>20</v>
      </c>
      <c r="D5" s="68" t="s">
        <v>56</v>
      </c>
      <c r="E5" s="68" t="s">
        <v>57</v>
      </c>
      <c r="F5" s="68"/>
      <c r="G5" s="68" t="s">
        <v>8</v>
      </c>
      <c r="H5" s="68" t="s">
        <v>41</v>
      </c>
    </row>
    <row r="6" spans="1:8" s="10" customFormat="1" ht="13.95" customHeight="1" x14ac:dyDescent="0.25">
      <c r="A6" s="73" t="s">
        <v>58</v>
      </c>
      <c r="B6" s="73"/>
      <c r="C6" s="73"/>
      <c r="D6" s="73"/>
      <c r="E6" s="73"/>
      <c r="F6" s="73"/>
      <c r="G6" s="73"/>
      <c r="H6" s="73"/>
    </row>
    <row r="7" spans="1:8" ht="15.75" customHeight="1" x14ac:dyDescent="0.25">
      <c r="A7" s="68" t="s">
        <v>59</v>
      </c>
      <c r="B7" s="68" t="s">
        <v>102</v>
      </c>
      <c r="C7" s="68" t="s">
        <v>20</v>
      </c>
      <c r="D7" s="68" t="s">
        <v>60</v>
      </c>
      <c r="E7" s="68" t="s">
        <v>100</v>
      </c>
      <c r="F7" s="68"/>
      <c r="G7" s="68" t="s">
        <v>8</v>
      </c>
      <c r="H7" s="68" t="s">
        <v>41</v>
      </c>
    </row>
    <row r="8" spans="1:8" ht="13.2" x14ac:dyDescent="0.25">
      <c r="A8" s="73" t="s">
        <v>61</v>
      </c>
      <c r="B8" s="73"/>
      <c r="C8" s="73"/>
      <c r="D8" s="73"/>
      <c r="E8" s="73"/>
      <c r="F8" s="73"/>
      <c r="G8" s="73"/>
      <c r="H8" s="73"/>
    </row>
    <row r="9" spans="1:8" ht="35.4" customHeight="1" x14ac:dyDescent="0.25">
      <c r="A9" s="72" t="s">
        <v>123</v>
      </c>
      <c r="B9" s="72" t="s">
        <v>124</v>
      </c>
      <c r="C9" s="72" t="s">
        <v>20</v>
      </c>
      <c r="D9" s="72" t="s">
        <v>141</v>
      </c>
      <c r="E9" s="72" t="s">
        <v>142</v>
      </c>
      <c r="F9" s="66"/>
      <c r="G9" s="72" t="s">
        <v>127</v>
      </c>
      <c r="H9" s="70" t="s">
        <v>41</v>
      </c>
    </row>
    <row r="10" spans="1:8" ht="15.75" customHeight="1" x14ac:dyDescent="0.25">
      <c r="A10" s="73" t="s">
        <v>172</v>
      </c>
      <c r="B10" s="73"/>
      <c r="C10" s="73"/>
      <c r="D10" s="73"/>
      <c r="E10" s="73"/>
      <c r="F10" s="73"/>
      <c r="G10" s="73"/>
      <c r="H10" s="73"/>
    </row>
    <row r="11" spans="1:8" ht="26.4" customHeight="1" x14ac:dyDescent="0.25">
      <c r="A11" s="70" t="s">
        <v>62</v>
      </c>
      <c r="B11" s="70" t="s">
        <v>63</v>
      </c>
      <c r="C11" s="70" t="s">
        <v>20</v>
      </c>
      <c r="D11" s="71" t="s">
        <v>64</v>
      </c>
      <c r="E11" s="71" t="s">
        <v>65</v>
      </c>
      <c r="F11" s="68"/>
      <c r="G11" s="70" t="s">
        <v>8</v>
      </c>
      <c r="H11" s="70" t="s">
        <v>41</v>
      </c>
    </row>
    <row r="12" spans="1:8" ht="15.75" customHeight="1" x14ac:dyDescent="0.25">
      <c r="A12" s="105" t="s">
        <v>140</v>
      </c>
      <c r="B12" s="106"/>
      <c r="C12" s="106"/>
      <c r="D12" s="106"/>
      <c r="E12" s="106"/>
      <c r="F12" s="106"/>
      <c r="G12" s="106"/>
      <c r="H12" s="107"/>
    </row>
    <row r="13" spans="1:8" ht="15.75" customHeight="1" x14ac:dyDescent="0.25">
      <c r="A13" s="109" t="s">
        <v>143</v>
      </c>
      <c r="B13" s="109" t="s">
        <v>144</v>
      </c>
      <c r="C13" s="109" t="s">
        <v>20</v>
      </c>
      <c r="D13" s="109" t="s">
        <v>173</v>
      </c>
      <c r="E13" s="109" t="s">
        <v>174</v>
      </c>
      <c r="F13" s="109"/>
      <c r="G13" s="109" t="s">
        <v>127</v>
      </c>
      <c r="H13" s="70" t="s">
        <v>41</v>
      </c>
    </row>
    <row r="14" spans="1:8" ht="15.75" customHeight="1" x14ac:dyDescent="0.25">
      <c r="A14" s="108" t="s">
        <v>171</v>
      </c>
      <c r="B14" s="108"/>
      <c r="C14" s="108"/>
      <c r="D14" s="108"/>
      <c r="E14" s="108"/>
      <c r="F14" s="108"/>
      <c r="G14" s="108"/>
      <c r="H14" s="108"/>
    </row>
    <row r="15" spans="1:8" ht="15.75" customHeight="1" x14ac:dyDescent="0.25">
      <c r="A15" s="109" t="s">
        <v>157</v>
      </c>
      <c r="B15" s="109" t="s">
        <v>158</v>
      </c>
      <c r="C15" s="109" t="s">
        <v>20</v>
      </c>
      <c r="D15" s="109" t="s">
        <v>175</v>
      </c>
      <c r="E15" s="109" t="s">
        <v>176</v>
      </c>
      <c r="F15" s="109"/>
      <c r="G15" s="109" t="s">
        <v>8</v>
      </c>
      <c r="H15" s="70" t="s">
        <v>41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2:H12"/>
    <mergeCell ref="A14:H14"/>
    <mergeCell ref="A2:H2"/>
    <mergeCell ref="A10:H10"/>
    <mergeCell ref="A4:H4"/>
    <mergeCell ref="A6:H6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37"/>
  <sheetViews>
    <sheetView tabSelected="1" topLeftCell="A45" zoomScale="85" zoomScaleNormal="85" workbookViewId="0">
      <selection activeCell="F62" sqref="F62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57.33203125" customWidth="1"/>
    <col min="6" max="6" width="56.33203125" customWidth="1"/>
    <col min="7" max="7" width="13.6640625" customWidth="1"/>
    <col min="8" max="26" width="12.44140625" customWidth="1"/>
  </cols>
  <sheetData>
    <row r="1" spans="2:9" ht="15.75" customHeight="1" x14ac:dyDescent="0.25"/>
    <row r="2" spans="2:9" ht="15.75" customHeight="1" x14ac:dyDescent="0.25">
      <c r="B2" s="17" t="s">
        <v>9</v>
      </c>
      <c r="C2" s="17" t="s">
        <v>1</v>
      </c>
      <c r="D2" s="17" t="s">
        <v>2</v>
      </c>
      <c r="E2" s="17" t="s">
        <v>10</v>
      </c>
      <c r="F2" s="17" t="s">
        <v>11</v>
      </c>
      <c r="G2" s="17" t="s">
        <v>5</v>
      </c>
      <c r="H2" s="17" t="s">
        <v>12</v>
      </c>
      <c r="I2" s="17" t="s">
        <v>13</v>
      </c>
    </row>
    <row r="3" spans="2:9" s="8" customFormat="1" ht="15.75" customHeight="1" x14ac:dyDescent="0.25">
      <c r="B3" s="49" t="s">
        <v>50</v>
      </c>
      <c r="C3" s="49" t="s">
        <v>101</v>
      </c>
      <c r="D3" s="49" t="s">
        <v>20</v>
      </c>
      <c r="E3" s="49" t="s">
        <v>51</v>
      </c>
      <c r="F3" s="49" t="s">
        <v>52</v>
      </c>
      <c r="G3" s="50"/>
      <c r="H3" s="49" t="s">
        <v>8</v>
      </c>
      <c r="I3" s="49" t="s">
        <v>41</v>
      </c>
    </row>
    <row r="4" spans="2:9" s="8" customFormat="1" ht="15.75" customHeight="1" x14ac:dyDescent="0.25">
      <c r="B4" s="32"/>
      <c r="C4" s="51" t="s">
        <v>14</v>
      </c>
      <c r="D4" s="52"/>
      <c r="E4" s="52"/>
      <c r="F4" s="52"/>
      <c r="G4" s="51" t="s">
        <v>15</v>
      </c>
      <c r="H4" s="52"/>
      <c r="I4" s="51" t="s">
        <v>16</v>
      </c>
    </row>
    <row r="5" spans="2:9" s="8" customFormat="1" ht="15.75" customHeight="1" x14ac:dyDescent="0.25">
      <c r="B5" s="54" t="s">
        <v>45</v>
      </c>
      <c r="C5" s="76" t="s">
        <v>103</v>
      </c>
      <c r="D5" s="76"/>
      <c r="E5" s="76"/>
      <c r="F5" s="76"/>
      <c r="G5" s="74" t="s">
        <v>43</v>
      </c>
      <c r="H5" s="54"/>
      <c r="I5" s="57" t="s">
        <v>92</v>
      </c>
    </row>
    <row r="6" spans="2:9" s="8" customFormat="1" ht="15.75" customHeight="1" x14ac:dyDescent="0.25">
      <c r="B6" s="54" t="s">
        <v>46</v>
      </c>
      <c r="C6" s="76" t="s">
        <v>105</v>
      </c>
      <c r="D6" s="76"/>
      <c r="E6" s="76"/>
      <c r="F6" s="76"/>
      <c r="G6" s="74"/>
      <c r="H6" s="54"/>
      <c r="I6" s="57" t="s">
        <v>93</v>
      </c>
    </row>
    <row r="7" spans="2:9" s="8" customFormat="1" ht="15.75" customHeight="1" x14ac:dyDescent="0.25">
      <c r="B7" s="54" t="s">
        <v>47</v>
      </c>
      <c r="C7" s="76" t="s">
        <v>106</v>
      </c>
      <c r="D7" s="76"/>
      <c r="E7" s="76"/>
      <c r="F7" s="76"/>
      <c r="G7" s="74"/>
      <c r="H7" s="54"/>
      <c r="I7" s="57" t="s">
        <v>94</v>
      </c>
    </row>
    <row r="8" spans="2:9" ht="15.75" customHeight="1" x14ac:dyDescent="0.25">
      <c r="B8" s="54" t="s">
        <v>48</v>
      </c>
      <c r="C8" s="76" t="s">
        <v>107</v>
      </c>
      <c r="D8" s="76"/>
      <c r="E8" s="76"/>
      <c r="F8" s="76"/>
      <c r="G8" s="74"/>
      <c r="H8" s="58"/>
      <c r="I8" s="57" t="s">
        <v>95</v>
      </c>
    </row>
    <row r="9" spans="2:9" ht="15.75" customHeight="1" x14ac:dyDescent="0.25">
      <c r="B9" s="7"/>
      <c r="C9" s="7"/>
      <c r="D9" s="8"/>
      <c r="E9" s="8"/>
      <c r="F9" s="8"/>
      <c r="G9" s="7"/>
      <c r="I9" s="21"/>
    </row>
    <row r="10" spans="2:9" ht="15.75" customHeight="1" x14ac:dyDescent="0.25">
      <c r="B10" s="7"/>
      <c r="C10" s="7"/>
      <c r="D10" s="8"/>
      <c r="E10" s="8" t="s">
        <v>104</v>
      </c>
      <c r="F10" s="8"/>
      <c r="G10" s="7"/>
      <c r="I10" s="21"/>
    </row>
    <row r="11" spans="2:9" ht="15.75" customHeight="1" x14ac:dyDescent="0.25">
      <c r="I11" s="19"/>
    </row>
    <row r="12" spans="2:9" ht="15.75" customHeight="1" x14ac:dyDescent="0.25">
      <c r="B12" s="34" t="s">
        <v>9</v>
      </c>
      <c r="C12" s="34" t="s">
        <v>1</v>
      </c>
      <c r="D12" s="34" t="s">
        <v>2</v>
      </c>
      <c r="E12" s="34" t="s">
        <v>10</v>
      </c>
      <c r="F12" s="34" t="s">
        <v>11</v>
      </c>
      <c r="G12" s="34" t="s">
        <v>5</v>
      </c>
      <c r="H12" s="34" t="s">
        <v>12</v>
      </c>
      <c r="I12" s="34" t="s">
        <v>13</v>
      </c>
    </row>
    <row r="13" spans="2:9" ht="15.75" customHeight="1" x14ac:dyDescent="0.25">
      <c r="B13" s="35" t="s">
        <v>54</v>
      </c>
      <c r="C13" s="35" t="s">
        <v>55</v>
      </c>
      <c r="D13" s="35" t="s">
        <v>20</v>
      </c>
      <c r="E13" s="35" t="s">
        <v>56</v>
      </c>
      <c r="F13" s="35" t="s">
        <v>57</v>
      </c>
      <c r="G13" s="35"/>
      <c r="H13" s="35" t="s">
        <v>8</v>
      </c>
      <c r="I13" s="36" t="s">
        <v>41</v>
      </c>
    </row>
    <row r="14" spans="2:9" ht="15.75" customHeight="1" x14ac:dyDescent="0.25">
      <c r="B14" s="33"/>
      <c r="C14" s="24" t="s">
        <v>14</v>
      </c>
      <c r="D14" s="23"/>
      <c r="E14" s="23"/>
      <c r="F14" s="23"/>
      <c r="G14" s="24" t="s">
        <v>15</v>
      </c>
      <c r="H14" s="23"/>
      <c r="I14" s="25" t="s">
        <v>16</v>
      </c>
    </row>
    <row r="15" spans="2:9" ht="15.75" customHeight="1" x14ac:dyDescent="0.25">
      <c r="B15" s="54" t="s">
        <v>78</v>
      </c>
      <c r="C15" s="54" t="s">
        <v>111</v>
      </c>
      <c r="D15" s="54"/>
      <c r="E15" s="54"/>
      <c r="F15" s="55"/>
      <c r="G15" s="74" t="s">
        <v>44</v>
      </c>
      <c r="H15" s="56"/>
      <c r="I15" s="57" t="s">
        <v>96</v>
      </c>
    </row>
    <row r="16" spans="2:9" ht="15.75" customHeight="1" x14ac:dyDescent="0.25">
      <c r="B16" s="54" t="s">
        <v>79</v>
      </c>
      <c r="C16" s="54" t="s">
        <v>112</v>
      </c>
      <c r="D16" s="54"/>
      <c r="E16" s="54"/>
      <c r="F16" s="55"/>
      <c r="G16" s="74"/>
      <c r="H16" s="56"/>
      <c r="I16" s="57" t="s">
        <v>96</v>
      </c>
    </row>
    <row r="17" spans="2:9" ht="15.75" customHeight="1" x14ac:dyDescent="0.25">
      <c r="B17" s="54" t="s">
        <v>80</v>
      </c>
      <c r="C17" s="54" t="s">
        <v>113</v>
      </c>
      <c r="D17" s="54"/>
      <c r="E17" s="54"/>
      <c r="F17" s="55"/>
      <c r="G17" s="74"/>
      <c r="H17" s="56"/>
      <c r="I17" s="57" t="s">
        <v>96</v>
      </c>
    </row>
    <row r="18" spans="2:9" ht="15.75" customHeight="1" x14ac:dyDescent="0.25">
      <c r="B18" s="54" t="s">
        <v>81</v>
      </c>
      <c r="C18" s="54" t="s">
        <v>114</v>
      </c>
      <c r="D18" s="54"/>
      <c r="E18" s="54"/>
      <c r="F18" s="55"/>
      <c r="G18" s="74"/>
      <c r="H18" s="56"/>
      <c r="I18" s="57" t="s">
        <v>96</v>
      </c>
    </row>
    <row r="19" spans="2:9" ht="15.75" customHeight="1" x14ac:dyDescent="0.25">
      <c r="B19" s="54" t="s">
        <v>82</v>
      </c>
      <c r="C19" s="54" t="s">
        <v>115</v>
      </c>
      <c r="D19" s="54"/>
      <c r="E19" s="54"/>
      <c r="F19" s="55"/>
      <c r="G19" s="74"/>
      <c r="H19" s="56"/>
      <c r="I19" s="57" t="s">
        <v>96</v>
      </c>
    </row>
    <row r="20" spans="2:9" ht="15.75" customHeight="1" x14ac:dyDescent="0.25">
      <c r="I20" s="19"/>
    </row>
    <row r="21" spans="2:9" ht="13.2" x14ac:dyDescent="0.25">
      <c r="B21" s="37" t="s">
        <v>9</v>
      </c>
      <c r="C21" s="37" t="s">
        <v>1</v>
      </c>
      <c r="D21" s="37" t="s">
        <v>2</v>
      </c>
      <c r="E21" s="37" t="s">
        <v>10</v>
      </c>
      <c r="F21" s="37" t="s">
        <v>11</v>
      </c>
      <c r="G21" s="37" t="s">
        <v>5</v>
      </c>
      <c r="H21" s="37" t="s">
        <v>12</v>
      </c>
      <c r="I21" s="37" t="s">
        <v>13</v>
      </c>
    </row>
    <row r="22" spans="2:9" ht="26.4" x14ac:dyDescent="0.25">
      <c r="B22" s="16" t="s">
        <v>59</v>
      </c>
      <c r="C22" s="16" t="s">
        <v>102</v>
      </c>
      <c r="D22" s="16" t="s">
        <v>20</v>
      </c>
      <c r="E22" s="16" t="s">
        <v>99</v>
      </c>
      <c r="F22" s="53" t="s">
        <v>100</v>
      </c>
      <c r="G22" s="16"/>
      <c r="H22" s="16" t="s">
        <v>8</v>
      </c>
      <c r="I22" s="22" t="s">
        <v>41</v>
      </c>
    </row>
    <row r="23" spans="2:9" ht="15.75" customHeight="1" x14ac:dyDescent="0.25">
      <c r="B23" s="33"/>
      <c r="C23" s="38" t="s">
        <v>14</v>
      </c>
      <c r="D23" s="39"/>
      <c r="E23" s="39"/>
      <c r="F23" s="39"/>
      <c r="G23" s="38" t="s">
        <v>15</v>
      </c>
      <c r="H23" s="39"/>
      <c r="I23" s="40" t="s">
        <v>16</v>
      </c>
    </row>
    <row r="24" spans="2:9" ht="15.75" customHeight="1" x14ac:dyDescent="0.25">
      <c r="B24" s="54" t="s">
        <v>83</v>
      </c>
      <c r="C24" s="54" t="s">
        <v>108</v>
      </c>
      <c r="D24" s="54"/>
      <c r="E24" s="54"/>
      <c r="F24" s="55"/>
      <c r="G24" s="74" t="s">
        <v>42</v>
      </c>
      <c r="H24" s="56"/>
      <c r="I24" s="57" t="s">
        <v>97</v>
      </c>
    </row>
    <row r="25" spans="2:9" ht="15.75" customHeight="1" x14ac:dyDescent="0.25">
      <c r="B25" s="54" t="s">
        <v>85</v>
      </c>
      <c r="C25" s="54" t="s">
        <v>116</v>
      </c>
      <c r="D25" s="56"/>
      <c r="E25" s="56"/>
      <c r="F25" s="55"/>
      <c r="G25" s="74"/>
      <c r="H25" s="56"/>
      <c r="I25" s="57" t="s">
        <v>96</v>
      </c>
    </row>
    <row r="26" spans="2:9" ht="15.75" customHeight="1" x14ac:dyDescent="0.25">
      <c r="B26" s="54" t="s">
        <v>86</v>
      </c>
      <c r="C26" s="54" t="s">
        <v>49</v>
      </c>
      <c r="D26" s="54"/>
      <c r="E26" s="54"/>
      <c r="F26" s="55"/>
      <c r="G26" s="74"/>
      <c r="H26" s="56"/>
      <c r="I26" s="57" t="s">
        <v>96</v>
      </c>
    </row>
    <row r="27" spans="2:9" ht="15.75" customHeight="1" x14ac:dyDescent="0.25">
      <c r="B27" s="54" t="s">
        <v>87</v>
      </c>
      <c r="C27" s="54" t="s">
        <v>109</v>
      </c>
      <c r="D27" s="54"/>
      <c r="E27" s="54"/>
      <c r="F27" s="55"/>
      <c r="G27" s="74"/>
      <c r="H27" s="56"/>
      <c r="I27" s="57" t="s">
        <v>97</v>
      </c>
    </row>
    <row r="28" spans="2:9" ht="15.75" customHeight="1" x14ac:dyDescent="0.25">
      <c r="B28" s="54" t="s">
        <v>88</v>
      </c>
      <c r="C28" s="54" t="s">
        <v>117</v>
      </c>
      <c r="D28" s="54"/>
      <c r="E28" s="54"/>
      <c r="F28" s="56"/>
      <c r="G28" s="56"/>
      <c r="H28" s="56"/>
      <c r="I28" s="57" t="s">
        <v>97</v>
      </c>
    </row>
    <row r="29" spans="2:9" ht="15.75" customHeight="1" x14ac:dyDescent="0.25">
      <c r="I29" s="19"/>
    </row>
    <row r="30" spans="2:9" ht="15.75" customHeight="1" x14ac:dyDescent="0.25">
      <c r="B30" s="61" t="s">
        <v>9</v>
      </c>
      <c r="C30" s="61" t="s">
        <v>1</v>
      </c>
      <c r="D30" s="61" t="s">
        <v>2</v>
      </c>
      <c r="E30" s="61" t="s">
        <v>10</v>
      </c>
      <c r="F30" s="61" t="s">
        <v>11</v>
      </c>
      <c r="G30" s="61" t="s">
        <v>5</v>
      </c>
      <c r="H30" s="61" t="s">
        <v>12</v>
      </c>
      <c r="I30" s="61" t="s">
        <v>13</v>
      </c>
    </row>
    <row r="31" spans="2:9" ht="47.4" customHeight="1" x14ac:dyDescent="0.25">
      <c r="B31" s="62" t="s">
        <v>62</v>
      </c>
      <c r="C31" s="62" t="s">
        <v>124</v>
      </c>
      <c r="D31" s="62" t="s">
        <v>20</v>
      </c>
      <c r="E31" s="62" t="s">
        <v>125</v>
      </c>
      <c r="F31" s="62" t="s">
        <v>126</v>
      </c>
      <c r="G31" s="62"/>
      <c r="H31" s="62" t="s">
        <v>127</v>
      </c>
      <c r="I31" s="62" t="s">
        <v>128</v>
      </c>
    </row>
    <row r="32" spans="2:9" ht="15.75" customHeight="1" x14ac:dyDescent="0.25">
      <c r="B32" s="33"/>
      <c r="C32" s="63" t="s">
        <v>14</v>
      </c>
      <c r="D32" s="64"/>
      <c r="E32" s="64"/>
      <c r="F32" s="64"/>
      <c r="G32" s="63" t="s">
        <v>15</v>
      </c>
      <c r="H32" s="64"/>
      <c r="I32" s="65" t="s">
        <v>16</v>
      </c>
    </row>
    <row r="33" spans="1:9" ht="15.75" customHeight="1" x14ac:dyDescent="0.25">
      <c r="B33" s="59" t="s">
        <v>129</v>
      </c>
      <c r="C33" s="75" t="s">
        <v>135</v>
      </c>
      <c r="D33" s="75"/>
      <c r="E33" s="75"/>
      <c r="F33" s="75"/>
      <c r="G33" s="74" t="s">
        <v>43</v>
      </c>
      <c r="H33" s="56"/>
      <c r="I33" s="60" t="s">
        <v>95</v>
      </c>
    </row>
    <row r="34" spans="1:9" ht="15.75" customHeight="1" x14ac:dyDescent="0.25">
      <c r="B34" s="59" t="s">
        <v>130</v>
      </c>
      <c r="C34" s="75" t="s">
        <v>139</v>
      </c>
      <c r="D34" s="75"/>
      <c r="E34" s="75"/>
      <c r="F34" s="75"/>
      <c r="G34" s="74"/>
      <c r="H34" s="56"/>
      <c r="I34" s="60" t="s">
        <v>98</v>
      </c>
    </row>
    <row r="35" spans="1:9" ht="15.75" customHeight="1" x14ac:dyDescent="0.25">
      <c r="B35" s="59" t="s">
        <v>131</v>
      </c>
      <c r="C35" s="75" t="s">
        <v>136</v>
      </c>
      <c r="D35" s="75"/>
      <c r="E35" s="75"/>
      <c r="F35" s="75"/>
      <c r="G35" s="74"/>
      <c r="H35" s="56"/>
      <c r="I35" s="60" t="s">
        <v>94</v>
      </c>
    </row>
    <row r="36" spans="1:9" ht="15.75" customHeight="1" x14ac:dyDescent="0.25">
      <c r="B36" s="59" t="s">
        <v>132</v>
      </c>
      <c r="C36" s="75" t="s">
        <v>137</v>
      </c>
      <c r="D36" s="75"/>
      <c r="E36" s="75"/>
      <c r="F36" s="75"/>
      <c r="G36" s="74"/>
      <c r="H36" s="56"/>
      <c r="I36" s="60" t="s">
        <v>98</v>
      </c>
    </row>
    <row r="37" spans="1:9" ht="15.75" customHeight="1" x14ac:dyDescent="0.25">
      <c r="B37" s="59" t="s">
        <v>133</v>
      </c>
      <c r="C37" s="75" t="s">
        <v>138</v>
      </c>
      <c r="D37" s="75"/>
      <c r="E37" s="75"/>
      <c r="F37" s="75"/>
      <c r="G37" s="74"/>
      <c r="H37" s="56"/>
      <c r="I37" s="60" t="s">
        <v>94</v>
      </c>
    </row>
    <row r="38" spans="1:9" ht="15.75" customHeight="1" x14ac:dyDescent="0.25">
      <c r="A38" s="91"/>
      <c r="B38" s="82"/>
      <c r="C38" s="95"/>
      <c r="D38" s="93"/>
      <c r="E38" s="93"/>
      <c r="F38" s="94"/>
      <c r="G38" s="90"/>
    </row>
    <row r="39" spans="1:9" ht="15.75" customHeight="1" x14ac:dyDescent="0.25">
      <c r="A39" s="89"/>
      <c r="C39" s="92"/>
      <c r="D39" s="92"/>
      <c r="E39" s="92"/>
      <c r="F39" s="92"/>
    </row>
    <row r="40" spans="1:9" ht="15.75" customHeight="1" x14ac:dyDescent="0.25">
      <c r="B40" s="41" t="s">
        <v>9</v>
      </c>
      <c r="C40" s="41" t="s">
        <v>1</v>
      </c>
      <c r="D40" s="41" t="s">
        <v>2</v>
      </c>
      <c r="E40" s="41" t="s">
        <v>10</v>
      </c>
      <c r="F40" s="41" t="s">
        <v>11</v>
      </c>
      <c r="G40" s="41" t="s">
        <v>5</v>
      </c>
      <c r="H40" s="41" t="s">
        <v>12</v>
      </c>
      <c r="I40" s="41" t="s">
        <v>13</v>
      </c>
    </row>
    <row r="41" spans="1:9" ht="36.6" customHeight="1" x14ac:dyDescent="0.25">
      <c r="B41" s="42" t="s">
        <v>123</v>
      </c>
      <c r="C41" s="42" t="s">
        <v>63</v>
      </c>
      <c r="D41" s="42" t="s">
        <v>20</v>
      </c>
      <c r="E41" s="43" t="s">
        <v>64</v>
      </c>
      <c r="F41" s="43" t="s">
        <v>66</v>
      </c>
      <c r="G41" s="44"/>
      <c r="H41" s="42" t="s">
        <v>8</v>
      </c>
      <c r="I41" s="45" t="s">
        <v>41</v>
      </c>
    </row>
    <row r="42" spans="1:9" ht="15.75" customHeight="1" x14ac:dyDescent="0.25">
      <c r="B42" s="33"/>
      <c r="C42" s="46" t="s">
        <v>14</v>
      </c>
      <c r="D42" s="47"/>
      <c r="E42" s="47"/>
      <c r="F42" s="47"/>
      <c r="G42" s="46" t="s">
        <v>15</v>
      </c>
      <c r="H42" s="47"/>
      <c r="I42" s="48" t="s">
        <v>16</v>
      </c>
    </row>
    <row r="43" spans="1:9" ht="15.75" customHeight="1" x14ac:dyDescent="0.25">
      <c r="B43" s="54" t="s">
        <v>84</v>
      </c>
      <c r="C43" s="54" t="s">
        <v>122</v>
      </c>
      <c r="D43" s="54"/>
      <c r="E43" s="54"/>
      <c r="F43" s="54"/>
      <c r="G43" s="74" t="s">
        <v>44</v>
      </c>
      <c r="H43" s="54"/>
      <c r="I43" s="57" t="s">
        <v>98</v>
      </c>
    </row>
    <row r="44" spans="1:9" ht="15.75" customHeight="1" x14ac:dyDescent="0.25">
      <c r="B44" s="54" t="s">
        <v>89</v>
      </c>
      <c r="C44" s="54" t="s">
        <v>118</v>
      </c>
      <c r="D44" s="54"/>
      <c r="E44" s="54"/>
      <c r="F44" s="54"/>
      <c r="G44" s="74"/>
      <c r="H44" s="54"/>
      <c r="I44" s="57" t="s">
        <v>96</v>
      </c>
    </row>
    <row r="45" spans="1:9" ht="15.75" customHeight="1" x14ac:dyDescent="0.25">
      <c r="B45" s="54" t="s">
        <v>90</v>
      </c>
      <c r="C45" s="54" t="s">
        <v>120</v>
      </c>
      <c r="D45" s="54"/>
      <c r="E45" s="54"/>
      <c r="F45" s="54"/>
      <c r="G45" s="74"/>
      <c r="H45" s="54"/>
      <c r="I45" s="57" t="s">
        <v>98</v>
      </c>
    </row>
    <row r="46" spans="1:9" ht="15.75" customHeight="1" x14ac:dyDescent="0.25">
      <c r="B46" s="54" t="s">
        <v>91</v>
      </c>
      <c r="C46" s="54" t="s">
        <v>119</v>
      </c>
      <c r="D46" s="54"/>
      <c r="E46" s="54"/>
      <c r="F46" s="54"/>
      <c r="G46" s="74"/>
      <c r="H46" s="54"/>
      <c r="I46" s="57" t="s">
        <v>96</v>
      </c>
    </row>
    <row r="47" spans="1:9" ht="15.75" customHeight="1" x14ac:dyDescent="0.25">
      <c r="B47" s="54" t="s">
        <v>121</v>
      </c>
      <c r="C47" s="54" t="s">
        <v>110</v>
      </c>
      <c r="D47" s="54"/>
      <c r="E47" s="54"/>
      <c r="F47" s="54"/>
      <c r="G47" s="74"/>
      <c r="H47" s="54"/>
      <c r="I47" s="57" t="s">
        <v>98</v>
      </c>
    </row>
    <row r="48" spans="1:9" ht="15.75" customHeight="1" x14ac:dyDescent="0.25"/>
    <row r="49" spans="1:10" ht="15.75" customHeight="1" x14ac:dyDescent="0.25"/>
    <row r="50" spans="1:10" ht="15.75" customHeight="1" x14ac:dyDescent="0.25">
      <c r="B50" s="96" t="s">
        <v>9</v>
      </c>
      <c r="C50" s="96" t="s">
        <v>1</v>
      </c>
      <c r="D50" s="96" t="s">
        <v>2</v>
      </c>
      <c r="E50" s="96" t="s">
        <v>10</v>
      </c>
      <c r="F50" s="96" t="s">
        <v>11</v>
      </c>
      <c r="G50" s="96" t="s">
        <v>5</v>
      </c>
      <c r="H50" s="96" t="s">
        <v>12</v>
      </c>
      <c r="I50" s="96" t="s">
        <v>13</v>
      </c>
    </row>
    <row r="51" spans="1:10" ht="63.6" customHeight="1" x14ac:dyDescent="0.25">
      <c r="B51" s="97" t="s">
        <v>134</v>
      </c>
      <c r="C51" s="97" t="s">
        <v>144</v>
      </c>
      <c r="D51" s="97" t="s">
        <v>20</v>
      </c>
      <c r="E51" s="97" t="s">
        <v>145</v>
      </c>
      <c r="F51" s="97" t="s">
        <v>146</v>
      </c>
      <c r="G51" s="97"/>
      <c r="H51" s="97" t="s">
        <v>127</v>
      </c>
      <c r="I51" s="97" t="s">
        <v>128</v>
      </c>
    </row>
    <row r="52" spans="1:10" ht="15.75" customHeight="1" x14ac:dyDescent="0.25">
      <c r="B52" s="33"/>
      <c r="C52" s="98" t="s">
        <v>14</v>
      </c>
      <c r="D52" s="99"/>
      <c r="E52" s="99"/>
      <c r="F52" s="99"/>
      <c r="G52" s="98" t="s">
        <v>15</v>
      </c>
      <c r="H52" s="99"/>
      <c r="I52" s="100" t="s">
        <v>16</v>
      </c>
    </row>
    <row r="53" spans="1:10" ht="15.75" customHeight="1" x14ac:dyDescent="0.25">
      <c r="B53" s="82" t="s">
        <v>147</v>
      </c>
      <c r="C53" s="83" t="s">
        <v>148</v>
      </c>
      <c r="D53" s="83"/>
      <c r="E53" s="83"/>
      <c r="F53" s="83"/>
      <c r="G53" s="81" t="s">
        <v>42</v>
      </c>
      <c r="I53" s="79" t="s">
        <v>95</v>
      </c>
    </row>
    <row r="54" spans="1:10" ht="15.75" customHeight="1" x14ac:dyDescent="0.25">
      <c r="B54" s="82" t="s">
        <v>149</v>
      </c>
      <c r="C54" s="83" t="s">
        <v>150</v>
      </c>
      <c r="D54" s="83"/>
      <c r="E54" s="83"/>
      <c r="F54" s="83"/>
      <c r="G54" s="81"/>
      <c r="I54" s="79" t="s">
        <v>95</v>
      </c>
    </row>
    <row r="55" spans="1:10" ht="15.75" customHeight="1" x14ac:dyDescent="0.25">
      <c r="B55" s="82" t="s">
        <v>151</v>
      </c>
      <c r="C55" s="83" t="s">
        <v>152</v>
      </c>
      <c r="D55" s="83"/>
      <c r="E55" s="83"/>
      <c r="F55" s="83"/>
      <c r="G55" s="81"/>
      <c r="I55" s="79" t="s">
        <v>95</v>
      </c>
    </row>
    <row r="56" spans="1:10" ht="15.75" customHeight="1" x14ac:dyDescent="0.25">
      <c r="B56" s="82" t="s">
        <v>153</v>
      </c>
      <c r="C56" s="83" t="s">
        <v>154</v>
      </c>
      <c r="D56" s="83"/>
      <c r="E56" s="83"/>
      <c r="F56" s="83"/>
      <c r="G56" s="81"/>
      <c r="I56" s="80" t="s">
        <v>98</v>
      </c>
    </row>
    <row r="57" spans="1:10" ht="15.75" customHeight="1" x14ac:dyDescent="0.25">
      <c r="B57" s="82" t="s">
        <v>155</v>
      </c>
      <c r="C57" s="83" t="s">
        <v>156</v>
      </c>
      <c r="D57" s="83"/>
      <c r="E57" s="83"/>
      <c r="F57" s="83"/>
      <c r="G57" s="81"/>
      <c r="I57" s="80" t="s">
        <v>98</v>
      </c>
    </row>
    <row r="58" spans="1:10" ht="15.75" customHeight="1" x14ac:dyDescent="0.25">
      <c r="B58" s="84"/>
      <c r="C58" s="85"/>
      <c r="D58" s="85"/>
      <c r="E58" s="85"/>
      <c r="F58" s="86"/>
    </row>
    <row r="59" spans="1:10" ht="15.75" customHeight="1" x14ac:dyDescent="0.25"/>
    <row r="60" spans="1:10" ht="15.75" customHeight="1" x14ac:dyDescent="0.25">
      <c r="B60" s="96" t="s">
        <v>9</v>
      </c>
      <c r="C60" s="96" t="s">
        <v>1</v>
      </c>
      <c r="D60" s="96" t="s">
        <v>2</v>
      </c>
      <c r="E60" s="96" t="s">
        <v>10</v>
      </c>
      <c r="F60" s="96" t="s">
        <v>11</v>
      </c>
      <c r="G60" s="96" t="s">
        <v>5</v>
      </c>
      <c r="H60" s="96" t="s">
        <v>12</v>
      </c>
      <c r="I60" s="96" t="s">
        <v>13</v>
      </c>
    </row>
    <row r="61" spans="1:10" ht="48.6" customHeight="1" x14ac:dyDescent="0.25">
      <c r="A61" s="87"/>
      <c r="B61" s="101" t="s">
        <v>143</v>
      </c>
      <c r="C61" s="102" t="s">
        <v>158</v>
      </c>
      <c r="D61" s="103" t="s">
        <v>20</v>
      </c>
      <c r="E61" s="101" t="s">
        <v>159</v>
      </c>
      <c r="F61" s="103" t="s">
        <v>160</v>
      </c>
      <c r="G61" s="101"/>
      <c r="H61" s="103" t="s">
        <v>8</v>
      </c>
      <c r="I61" s="104" t="s">
        <v>128</v>
      </c>
      <c r="J61" s="88"/>
    </row>
    <row r="62" spans="1:10" ht="15.75" customHeight="1" x14ac:dyDescent="0.25">
      <c r="B62" s="33"/>
      <c r="C62" s="98" t="s">
        <v>14</v>
      </c>
      <c r="D62" s="99"/>
      <c r="E62" s="99"/>
      <c r="F62" s="99"/>
      <c r="G62" s="98" t="s">
        <v>15</v>
      </c>
      <c r="H62" s="99"/>
      <c r="I62" s="100" t="s">
        <v>16</v>
      </c>
    </row>
    <row r="63" spans="1:10" ht="15.75" customHeight="1" x14ac:dyDescent="0.25">
      <c r="B63" s="82" t="s">
        <v>161</v>
      </c>
      <c r="C63" s="83" t="s">
        <v>162</v>
      </c>
      <c r="D63" s="83"/>
      <c r="E63" s="83"/>
      <c r="F63" s="83"/>
      <c r="G63" s="74" t="s">
        <v>44</v>
      </c>
      <c r="I63" s="77" t="s">
        <v>98</v>
      </c>
    </row>
    <row r="64" spans="1:10" ht="15.75" customHeight="1" x14ac:dyDescent="0.25">
      <c r="B64" s="82" t="s">
        <v>163</v>
      </c>
      <c r="C64" s="83" t="s">
        <v>164</v>
      </c>
      <c r="D64" s="83"/>
      <c r="E64" s="83"/>
      <c r="F64" s="83"/>
      <c r="G64" s="74"/>
      <c r="I64" s="77" t="s">
        <v>98</v>
      </c>
    </row>
    <row r="65" spans="2:9" ht="15.75" customHeight="1" x14ac:dyDescent="0.25">
      <c r="B65" s="82" t="s">
        <v>165</v>
      </c>
      <c r="C65" s="83" t="s">
        <v>166</v>
      </c>
      <c r="D65" s="83"/>
      <c r="E65" s="83"/>
      <c r="F65" s="83"/>
      <c r="G65" s="74"/>
      <c r="I65" s="77" t="s">
        <v>98</v>
      </c>
    </row>
    <row r="66" spans="2:9" ht="15.75" customHeight="1" x14ac:dyDescent="0.25">
      <c r="B66" s="82" t="s">
        <v>167</v>
      </c>
      <c r="C66" s="83" t="s">
        <v>168</v>
      </c>
      <c r="D66" s="83"/>
      <c r="E66" s="83"/>
      <c r="F66" s="83"/>
      <c r="G66" s="74"/>
      <c r="I66" s="78" t="s">
        <v>98</v>
      </c>
    </row>
    <row r="67" spans="2:9" ht="15.75" customHeight="1" x14ac:dyDescent="0.25">
      <c r="B67" s="82" t="s">
        <v>169</v>
      </c>
      <c r="C67" s="83" t="s">
        <v>170</v>
      </c>
      <c r="D67" s="83"/>
      <c r="E67" s="83"/>
      <c r="F67" s="83"/>
      <c r="G67" s="74"/>
      <c r="I67" s="78" t="s">
        <v>95</v>
      </c>
    </row>
    <row r="68" spans="2:9" ht="15.75" customHeight="1" x14ac:dyDescent="0.25"/>
    <row r="69" spans="2:9" ht="15.75" customHeight="1" x14ac:dyDescent="0.25"/>
    <row r="70" spans="2:9" ht="15.75" customHeight="1" x14ac:dyDescent="0.25"/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27">
    <mergeCell ref="C66:F66"/>
    <mergeCell ref="C67:F67"/>
    <mergeCell ref="G63:G67"/>
    <mergeCell ref="G53:G57"/>
    <mergeCell ref="C63:F63"/>
    <mergeCell ref="C64:F64"/>
    <mergeCell ref="C65:F65"/>
    <mergeCell ref="C53:F53"/>
    <mergeCell ref="C54:F54"/>
    <mergeCell ref="C55:F55"/>
    <mergeCell ref="C56:F56"/>
    <mergeCell ref="C57:F57"/>
    <mergeCell ref="G5:G8"/>
    <mergeCell ref="G15:G19"/>
    <mergeCell ref="G24:G27"/>
    <mergeCell ref="C5:F5"/>
    <mergeCell ref="C6:F6"/>
    <mergeCell ref="C7:F7"/>
    <mergeCell ref="C8:F8"/>
    <mergeCell ref="G43:G47"/>
    <mergeCell ref="G33:G37"/>
    <mergeCell ref="C33:F33"/>
    <mergeCell ref="C34:F34"/>
    <mergeCell ref="C35:F35"/>
    <mergeCell ref="C36:F36"/>
    <mergeCell ref="C37:F37"/>
    <mergeCell ref="C38:F38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zoomScale="85" zoomScaleNormal="85" workbookViewId="0">
      <selection activeCell="V37" sqref="V37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2"/>
      <c r="C3" s="30" t="s">
        <v>16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22</v>
      </c>
      <c r="J3" s="14" t="s">
        <v>23</v>
      </c>
      <c r="K3" s="14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72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18" t="s">
        <v>39</v>
      </c>
      <c r="AB3" s="18" t="s">
        <v>40</v>
      </c>
      <c r="AC3" s="18" t="s">
        <v>73</v>
      </c>
      <c r="AD3" s="18" t="s">
        <v>74</v>
      </c>
      <c r="AE3" s="18" t="s">
        <v>75</v>
      </c>
      <c r="AF3" s="18" t="s">
        <v>76</v>
      </c>
      <c r="AG3" s="18" t="s">
        <v>77</v>
      </c>
      <c r="AH3" s="2" t="s">
        <v>17</v>
      </c>
    </row>
    <row r="4" spans="1:34" ht="15.75" customHeight="1" x14ac:dyDescent="0.25">
      <c r="B4" s="28" t="s">
        <v>45</v>
      </c>
      <c r="C4" s="27" t="s">
        <v>92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SUM(D4:AG4)</f>
        <v>0</v>
      </c>
    </row>
    <row r="5" spans="1:34" ht="15.75" customHeight="1" x14ac:dyDescent="0.25">
      <c r="B5" s="28" t="s">
        <v>46</v>
      </c>
      <c r="C5" s="27" t="s">
        <v>93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>SUM(D5:AG5)</f>
        <v>0</v>
      </c>
    </row>
    <row r="6" spans="1:34" ht="15.75" customHeight="1" x14ac:dyDescent="0.25">
      <c r="A6" s="2"/>
      <c r="B6" s="28" t="s">
        <v>47</v>
      </c>
      <c r="C6" s="27" t="s">
        <v>94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>SUM(D6:AG6)</f>
        <v>0</v>
      </c>
    </row>
    <row r="7" spans="1:34" ht="15.75" customHeight="1" x14ac:dyDescent="0.25">
      <c r="B7" s="28" t="s">
        <v>48</v>
      </c>
      <c r="C7" s="27" t="s">
        <v>95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f>SUM(D7:AG7)</f>
        <v>0</v>
      </c>
    </row>
    <row r="8" spans="1:34" ht="15.75" customHeight="1" x14ac:dyDescent="0.25">
      <c r="B8" s="1"/>
      <c r="C8" s="2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1"/>
    </row>
    <row r="9" spans="1:34" ht="15.75" customHeight="1" x14ac:dyDescent="0.25">
      <c r="B9" s="28" t="s">
        <v>78</v>
      </c>
      <c r="C9" s="27" t="s">
        <v>96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f>SUM(D9:AG9)</f>
        <v>0</v>
      </c>
    </row>
    <row r="10" spans="1:34" ht="15.75" customHeight="1" x14ac:dyDescent="0.25">
      <c r="B10" s="28" t="s">
        <v>79</v>
      </c>
      <c r="C10" s="27" t="s">
        <v>96</v>
      </c>
      <c r="D10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f t="shared" ref="AH10" si="0">SUM(D10:AG10)</f>
        <v>0</v>
      </c>
    </row>
    <row r="11" spans="1:34" ht="15.75" customHeight="1" x14ac:dyDescent="0.25">
      <c r="B11" s="28" t="s">
        <v>80</v>
      </c>
      <c r="C11" s="27" t="s">
        <v>96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f>SUM(D11:AG11)</f>
        <v>0</v>
      </c>
    </row>
    <row r="12" spans="1:34" ht="15.75" customHeight="1" x14ac:dyDescent="0.25">
      <c r="B12" s="28" t="s">
        <v>81</v>
      </c>
      <c r="C12" s="27" t="s">
        <v>96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f>SUM(D12:AG12)</f>
        <v>0</v>
      </c>
    </row>
    <row r="13" spans="1:34" ht="15.75" customHeight="1" x14ac:dyDescent="0.25">
      <c r="B13" s="29" t="s">
        <v>82</v>
      </c>
      <c r="C13" s="27" t="s">
        <v>96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f>SUM(D13:AG13)</f>
        <v>0</v>
      </c>
    </row>
    <row r="14" spans="1:34" ht="15.75" customHeight="1" x14ac:dyDescent="0.25">
      <c r="C14" s="1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4" ht="15.75" customHeight="1" x14ac:dyDescent="0.25">
      <c r="B15" s="28" t="s">
        <v>83</v>
      </c>
      <c r="C15" s="27" t="s">
        <v>97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>SUM(D15:AG15)</f>
        <v>0</v>
      </c>
    </row>
    <row r="16" spans="1:34" ht="15.75" customHeight="1" x14ac:dyDescent="0.25">
      <c r="B16" s="28" t="s">
        <v>85</v>
      </c>
      <c r="C16" s="27" t="s">
        <v>96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>SUM(D16:AG16)</f>
        <v>0</v>
      </c>
    </row>
    <row r="17" spans="2:34" ht="15.75" customHeight="1" x14ac:dyDescent="0.25">
      <c r="B17" s="28" t="s">
        <v>86</v>
      </c>
      <c r="C17" s="27" t="s">
        <v>96</v>
      </c>
      <c r="D17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f t="shared" ref="AH17" si="1">SUM(D17:AG17)</f>
        <v>0</v>
      </c>
    </row>
    <row r="18" spans="2:34" ht="15.75" customHeight="1" x14ac:dyDescent="0.25">
      <c r="B18" s="28" t="s">
        <v>87</v>
      </c>
      <c r="C18" s="27" t="s">
        <v>97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>SUM(D18:AG18)</f>
        <v>0</v>
      </c>
    </row>
    <row r="19" spans="2:34" ht="15.75" customHeight="1" x14ac:dyDescent="0.25">
      <c r="B19" s="28" t="s">
        <v>88</v>
      </c>
      <c r="C19" s="26">
        <v>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f>SUM(D19:AG19)</f>
        <v>0</v>
      </c>
    </row>
    <row r="20" spans="2:34" ht="15.75" customHeight="1" x14ac:dyDescent="0.25">
      <c r="C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4" ht="15.75" customHeight="1" x14ac:dyDescent="0.25">
      <c r="B21" s="28" t="s">
        <v>84</v>
      </c>
      <c r="C21" s="27" t="s">
        <v>98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f>SUM(D21:AG21)</f>
        <v>0</v>
      </c>
    </row>
    <row r="22" spans="2:34" ht="15.75" customHeight="1" x14ac:dyDescent="0.25">
      <c r="B22" s="28" t="s">
        <v>89</v>
      </c>
      <c r="C22" s="27" t="s">
        <v>96</v>
      </c>
      <c r="D22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f>SUM(D22:AG22)</f>
        <v>0</v>
      </c>
    </row>
    <row r="23" spans="2:34" ht="15.75" customHeight="1" x14ac:dyDescent="0.25">
      <c r="B23" s="28" t="s">
        <v>90</v>
      </c>
      <c r="C23" s="27" t="s">
        <v>98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f t="shared" ref="AH23:AH28" si="2">SUM(D23:AG23)</f>
        <v>0</v>
      </c>
    </row>
    <row r="24" spans="2:34" ht="15.75" customHeight="1" x14ac:dyDescent="0.25">
      <c r="B24" s="28" t="s">
        <v>91</v>
      </c>
      <c r="C24" s="27" t="s">
        <v>96</v>
      </c>
      <c r="D24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f t="shared" si="2"/>
        <v>0</v>
      </c>
    </row>
    <row r="25" spans="2:34" ht="15.75" customHeight="1" x14ac:dyDescent="0.25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2"/>
    </row>
    <row r="26" spans="2:34" ht="15.75" customHeight="1" x14ac:dyDescent="0.25">
      <c r="B26" s="1"/>
    </row>
    <row r="27" spans="2:34" ht="15.75" customHeight="1" x14ac:dyDescent="0.25">
      <c r="B27" s="5" t="s">
        <v>18</v>
      </c>
      <c r="C27">
        <f>SUM(C4:C25)</f>
        <v>5</v>
      </c>
      <c r="D27" s="2">
        <f t="shared" ref="D27:AG27" si="3">C27-SUM(D4:D6,D8:D9,D11:D13,D15:D16, D18:D19, D21, D23,D24,D22)</f>
        <v>5</v>
      </c>
      <c r="E27" s="2">
        <f t="shared" si="3"/>
        <v>5</v>
      </c>
      <c r="F27" s="2">
        <f t="shared" si="3"/>
        <v>5</v>
      </c>
      <c r="G27" s="2">
        <f t="shared" si="3"/>
        <v>5</v>
      </c>
      <c r="H27" s="2">
        <f t="shared" si="3"/>
        <v>5</v>
      </c>
      <c r="I27" s="2">
        <f t="shared" si="3"/>
        <v>5</v>
      </c>
      <c r="J27" s="2">
        <f t="shared" si="3"/>
        <v>5</v>
      </c>
      <c r="K27" s="2">
        <f t="shared" si="3"/>
        <v>5</v>
      </c>
      <c r="L27" s="2">
        <f t="shared" si="3"/>
        <v>5</v>
      </c>
      <c r="M27" s="2">
        <f t="shared" si="3"/>
        <v>5</v>
      </c>
      <c r="N27" s="2">
        <f t="shared" si="3"/>
        <v>5</v>
      </c>
      <c r="O27" s="2">
        <f t="shared" si="3"/>
        <v>5</v>
      </c>
      <c r="P27" s="2">
        <f t="shared" si="3"/>
        <v>5</v>
      </c>
      <c r="Q27" s="2">
        <f t="shared" si="3"/>
        <v>5</v>
      </c>
      <c r="R27" s="2">
        <f t="shared" si="3"/>
        <v>5</v>
      </c>
      <c r="S27" s="2">
        <f t="shared" si="3"/>
        <v>5</v>
      </c>
      <c r="T27" s="2">
        <f t="shared" si="3"/>
        <v>5</v>
      </c>
      <c r="U27" s="2">
        <f t="shared" si="3"/>
        <v>5</v>
      </c>
      <c r="V27" s="2">
        <f t="shared" si="3"/>
        <v>5</v>
      </c>
      <c r="W27" s="2">
        <f t="shared" si="3"/>
        <v>5</v>
      </c>
      <c r="X27" s="2">
        <f t="shared" si="3"/>
        <v>5</v>
      </c>
      <c r="Y27" s="2">
        <f t="shared" si="3"/>
        <v>5</v>
      </c>
      <c r="Z27" s="2">
        <f t="shared" si="3"/>
        <v>5</v>
      </c>
      <c r="AA27" s="2">
        <f t="shared" si="3"/>
        <v>5</v>
      </c>
      <c r="AB27" s="2">
        <f t="shared" si="3"/>
        <v>5</v>
      </c>
      <c r="AC27" s="2">
        <f t="shared" si="3"/>
        <v>5</v>
      </c>
      <c r="AD27" s="2">
        <f t="shared" si="3"/>
        <v>5</v>
      </c>
      <c r="AE27" s="2">
        <f t="shared" si="3"/>
        <v>5</v>
      </c>
      <c r="AF27" s="2">
        <f t="shared" si="3"/>
        <v>5</v>
      </c>
      <c r="AG27" s="2">
        <f t="shared" si="3"/>
        <v>5</v>
      </c>
      <c r="AH27" s="4">
        <f t="shared" si="2"/>
        <v>150</v>
      </c>
    </row>
    <row r="28" spans="2:34" ht="15.75" customHeight="1" x14ac:dyDescent="0.25">
      <c r="B28" s="5" t="s">
        <v>19</v>
      </c>
      <c r="C28">
        <f>SUM(C4:C25)</f>
        <v>5</v>
      </c>
      <c r="D28" s="11">
        <f>C28-(SUM($C$4:$C$6,$C$8:$C$9,$C$11:$C$13,$C$15:$C$16,$C$18:$C$19:$C$21,$C23:$C24, $C22)/30)</f>
        <v>4.833333333333333</v>
      </c>
      <c r="E28" s="11">
        <f>D28-(SUM($C$4:$C$6,$C$8:$C$9,$C$11:$C$13,$C$15:$C$16,$C$18:$C$19:$C$21,$C23:$C24, $C22)/30)</f>
        <v>4.6666666666666661</v>
      </c>
      <c r="F28" s="11">
        <f>E28-(SUM($C$4:$C$6,$C$8:$C$9,$C$11:$C$13,$C$15:$C$16,$C$18:$C$19:$C$21,$C23:$C24, $C22)/30)</f>
        <v>4.4999999999999991</v>
      </c>
      <c r="G28" s="11">
        <f>F28-(SUM($C$4:$C$6,$C$8:$C$9,$C$11:$C$13,$C$15:$C$16,$C$18:$C$19:$C$21,$C23:$C24, $C22)/30)</f>
        <v>4.3333333333333321</v>
      </c>
      <c r="H28" s="11">
        <f>G28-(SUM($C$4:$C$6,$C$8:$C$9,$C$11:$C$13,$C$15:$C$16,$C$18:$C$19:$C$21,$C23:$C24, $C22)/30)</f>
        <v>4.1666666666666652</v>
      </c>
      <c r="I28" s="11">
        <f>H28-(SUM($C$4:$C$6,$C$8:$C$9,$C$11:$C$13,$C$15:$C$16,$C$18:$C$19:$C$21,$C23:$C24, $C22)/30)</f>
        <v>3.9999999999999987</v>
      </c>
      <c r="J28" s="11">
        <f>I28-(SUM($C$4:$C$6,$C$8:$C$9,$C$11:$C$13,$C$15:$C$16,$C$18:$C$19:$C$21,$C23:$C24, $C22)/30)</f>
        <v>3.8333333333333321</v>
      </c>
      <c r="K28" s="11">
        <f>J28-(SUM($C$4:$C$6,$C$8:$C$9,$C$11:$C$13,$C$15:$C$16,$C$18:$C$19:$C$21,$C23:$C24, $C22)/30)</f>
        <v>3.6666666666666656</v>
      </c>
      <c r="L28" s="11">
        <f>K28-(SUM($C$4:$C$6,$C$8:$C$9,$C$11:$C$13,$C$15:$C$16,$C$18:$C$19:$C$21,$C23:$C24, $C22)/30)</f>
        <v>3.4999999999999991</v>
      </c>
      <c r="M28" s="11">
        <f>L28-(SUM($C$4:$C$6,$C$8:$C$9,$C$11:$C$13,$C$15:$C$16,$C$18:$C$19:$C$21,$C23:$C24, $C22)/30)</f>
        <v>3.3333333333333326</v>
      </c>
      <c r="N28" s="11">
        <f>M28-(SUM($C$4:$C$6,$C$8:$C$9,$C$11:$C$13,$C$15:$C$16,$C$18:$C$19:$C$21,$C23:$C24, $C22)/30)</f>
        <v>3.1666666666666661</v>
      </c>
      <c r="O28" s="11">
        <f>N28-(SUM($C$4:$C$6,$C$8:$C$9,$C$11:$C$13,$C$15:$C$16,$C$18:$C$19:$C$21,$C23:$C24, $C22)/30)</f>
        <v>2.9999999999999996</v>
      </c>
      <c r="P28" s="11">
        <f>O28-(SUM($C$4:$C$6,$C$8:$C$9,$C$11:$C$13,$C$15:$C$16,$C$18:$C$19:$C$21,$C23:$C24, $C22)/30)</f>
        <v>2.833333333333333</v>
      </c>
      <c r="Q28" s="11">
        <f>P28-(SUM($C$4:$C$6,$C$8:$C$9,$C$11:$C$13,$C$15:$C$16,$C$18:$C$19:$C$21,$C23:$C24, $C22)/30)</f>
        <v>2.6666666666666665</v>
      </c>
      <c r="R28" s="11">
        <f>Q28-(SUM($C$4:$C$6,$C$8:$C$9,$C$11:$C$13,$C$15:$C$16,$C$18:$C$19:$C$21,$C23:$C24, $C22)/30)</f>
        <v>2.5</v>
      </c>
      <c r="S28" s="11">
        <f>R28-(SUM($C$4:$C$6,$C$8:$C$9,$C$11:$C$13,$C$15:$C$16,$C$18:$C$19:$C$21,$C23:$C24, $C22)/30)</f>
        <v>2.3333333333333335</v>
      </c>
      <c r="T28" s="11">
        <f>S28-(SUM($C$4:$C$6,$C$8:$C$9,$C$11:$C$13,$C$15:$C$16,$C$18:$C$19:$C$21,$C23:$C24, $C22)/30)</f>
        <v>2.166666666666667</v>
      </c>
      <c r="U28" s="11">
        <f>T28-(SUM($C$4:$C$6,$C$8:$C$9,$C$11:$C$13,$C$15:$C$16,$C$18:$C$19:$C$21,$C23:$C24, $C22)/30)</f>
        <v>2.0000000000000004</v>
      </c>
      <c r="V28" s="11">
        <f>U28-(SUM($C$4:$C$6,$C$8:$C$9,$C$11:$C$13,$C$15:$C$16,$C$18:$C$19:$C$21,$C23:$C24, $C22)/30)</f>
        <v>1.8333333333333337</v>
      </c>
      <c r="W28" s="11">
        <f>V28-(SUM($C$4:$C$6,$C$8:$C$9,$C$11:$C$13,$C$15:$C$16,$C$18:$C$19:$C$21,$C23:$C24, $C22)/30)</f>
        <v>1.666666666666667</v>
      </c>
      <c r="X28" s="11">
        <f>W28-(SUM($C$4:$C$6,$C$8:$C$9,$C$11:$C$13,$C$15:$C$16,$C$18:$C$19:$C$21,$C23:$C24, $C22)/30)</f>
        <v>1.5000000000000002</v>
      </c>
      <c r="Y28" s="11">
        <f>X28-(SUM($C$4:$C$6,$C$8:$C$9,$C$11:$C$13,$C$15:$C$16,$C$18:$C$19:$C$21,$C23:$C24, $C22)/30)</f>
        <v>1.3333333333333335</v>
      </c>
      <c r="Z28" s="11">
        <f>Y28-(SUM($C$4:$C$6,$C$8:$C$9,$C$11:$C$13,$C$15:$C$16,$C$18:$C$19:$C$21,$C23:$C24, $C22)/30)</f>
        <v>1.1666666666666667</v>
      </c>
      <c r="AA28" s="11">
        <f>Z28-(SUM($C$4:$C$6,$C$8:$C$9,$C$11:$C$13,$C$15:$C$16,$C$18:$C$19:$C$21,$C23:$C24, $C22)/30)</f>
        <v>1</v>
      </c>
      <c r="AB28" s="11">
        <f>AA28-(SUM($C$4:$C$6,$C$8:$C$9,$C$11:$C$13,$C$15:$C$16,$C$18:$C$19:$C$21,$C23:$C24, $C22)/30)</f>
        <v>0.83333333333333337</v>
      </c>
      <c r="AC28" s="11">
        <f>AB28-(SUM($C$4:$C$6,$C$8:$C$9,$C$11:$C$13,$C$15:$C$16,$C$18:$C$19:$C$21,$C23:$C24, $C22)/30)</f>
        <v>0.66666666666666674</v>
      </c>
      <c r="AD28" s="11">
        <f>AC28-(SUM($C$4:$C$6,$C$8:$C$9,$C$11:$C$13,$C$15:$C$16,$C$18:$C$19:$C$21,$C23:$C24, $C22)/30)</f>
        <v>0.50000000000000011</v>
      </c>
      <c r="AE28" s="11">
        <f>AD28-(SUM($C$4:$C$6,$C$8:$C$9,$C$11:$C$13,$C$15:$C$16,$C$18:$C$19:$C$21,$C23:$C24, $C22)/30)</f>
        <v>0.33333333333333348</v>
      </c>
      <c r="AF28" s="11">
        <f>AE28-(SUM($C$4:$C$6,$C$8:$C$9,$C$11:$C$13,$C$15:$C$16,$C$18:$C$19:$C$21,$C23:$C24, $C22)/30)</f>
        <v>0.16666666666666682</v>
      </c>
      <c r="AG28" s="11">
        <f>AF28-(SUM($C$4:$C$6,$C$8:$C$9,$C$11:$C$13,$C$15:$C$16,$C$18:$C$19:$C$21,$C23:$C24, $C22)/30)</f>
        <v>0</v>
      </c>
      <c r="AH28" s="4">
        <f t="shared" si="2"/>
        <v>72.5</v>
      </c>
    </row>
    <row r="29" spans="2:34" ht="15.75" customHeight="1" x14ac:dyDescent="0.25"/>
    <row r="30" spans="2:34" ht="15.75" customHeight="1" x14ac:dyDescent="0.25"/>
    <row r="31" spans="2:34" ht="15.75" customHeight="1" x14ac:dyDescent="0.25"/>
    <row r="32" spans="2:34" ht="15.75" customHeight="1" x14ac:dyDescent="0.25">
      <c r="B32" s="9"/>
      <c r="C32" s="2"/>
      <c r="D32" s="2"/>
      <c r="E32" s="2"/>
      <c r="F32" s="2"/>
      <c r="G32" s="2"/>
      <c r="H32" s="2"/>
    </row>
    <row r="33" spans="2:8" ht="15.75" customHeight="1" x14ac:dyDescent="0.25"/>
    <row r="34" spans="2:8" ht="15.75" customHeight="1" x14ac:dyDescent="0.25">
      <c r="B34" s="9"/>
      <c r="C34" s="2"/>
      <c r="D34" s="2"/>
      <c r="E34" s="2"/>
      <c r="F34" s="2"/>
      <c r="G34" s="2"/>
      <c r="H34" s="2"/>
    </row>
    <row r="35" spans="2:8" ht="15.75" customHeight="1" x14ac:dyDescent="0.25">
      <c r="B35" s="9"/>
      <c r="C35" s="2"/>
      <c r="D35" s="2"/>
      <c r="E35" s="2"/>
      <c r="F35" s="2"/>
      <c r="G35" s="2"/>
      <c r="H35" s="2"/>
    </row>
    <row r="36" spans="2:8" ht="15.75" customHeight="1" x14ac:dyDescent="0.25"/>
    <row r="37" spans="2:8" ht="15.75" customHeight="1" x14ac:dyDescent="0.25">
      <c r="B37" s="13"/>
      <c r="C37" s="13"/>
      <c r="D37" s="13"/>
      <c r="E37" s="13"/>
      <c r="F37" s="13"/>
      <c r="G37" s="13"/>
    </row>
    <row r="38" spans="2:8" ht="15.75" customHeight="1" x14ac:dyDescent="0.25">
      <c r="B38" s="13"/>
      <c r="C38" s="13"/>
      <c r="D38" s="13"/>
      <c r="E38" s="13"/>
      <c r="F38" s="13"/>
      <c r="G38" s="13"/>
    </row>
    <row r="39" spans="2:8" ht="15.75" customHeight="1" x14ac:dyDescent="0.25">
      <c r="B39" s="13"/>
      <c r="C39" s="13"/>
      <c r="D39" s="13"/>
      <c r="E39" s="13"/>
      <c r="F39" s="13"/>
      <c r="G39" s="13"/>
    </row>
    <row r="40" spans="2:8" ht="15.75" customHeight="1" x14ac:dyDescent="0.25">
      <c r="B40" s="13"/>
      <c r="C40" s="13"/>
      <c r="D40" s="13"/>
      <c r="E40" s="13"/>
      <c r="F40" s="13"/>
      <c r="G40" s="13"/>
    </row>
    <row r="41" spans="2:8" ht="15.75" customHeight="1" x14ac:dyDescent="0.25">
      <c r="B41" s="13"/>
      <c r="C41" s="13"/>
      <c r="D41" s="13"/>
      <c r="E41" s="13"/>
      <c r="F41" s="13"/>
      <c r="G41" s="13"/>
    </row>
    <row r="42" spans="2:8" ht="15.75" customHeight="1" x14ac:dyDescent="0.25">
      <c r="B42" s="13"/>
      <c r="C42" s="13"/>
      <c r="D42" s="13"/>
      <c r="E42" s="13"/>
      <c r="F42" s="13"/>
      <c r="G42" s="13"/>
    </row>
    <row r="43" spans="2:8" ht="15.75" customHeight="1" x14ac:dyDescent="0.25">
      <c r="B43" s="13"/>
      <c r="C43" s="13"/>
      <c r="D43" s="13"/>
      <c r="E43" s="13"/>
      <c r="F43" s="13"/>
      <c r="G43" s="13"/>
    </row>
    <row r="44" spans="2:8" ht="15.75" customHeight="1" x14ac:dyDescent="0.25">
      <c r="B44" s="13"/>
      <c r="C44" s="13"/>
      <c r="D44" s="13"/>
      <c r="E44" s="13"/>
      <c r="F44" s="13"/>
      <c r="G44" s="13"/>
    </row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JHON KEVIN CASTILLO QUISHPE</cp:lastModifiedBy>
  <dcterms:created xsi:type="dcterms:W3CDTF">2023-06-05T13:12:31Z</dcterms:created>
  <dcterms:modified xsi:type="dcterms:W3CDTF">2026-01-05T16:42:36Z</dcterms:modified>
</cp:coreProperties>
</file>