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8_{E6512FE1-6F89-4D84-BF31-04F2163D0456}"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<sst xmlns="http://schemas.openxmlformats.org/spreadsheetml/2006/main" count="114" uniqueCount="92">
  <si>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</si>
  <si>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</si>
  <si>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</si>
  <si>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</si>
  <si>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</si>
  <si>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</si>
  <si>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</si>
  <si>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</si>
  <si>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</si>
  <si>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</si>
  <si>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</si>
  <si>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</si>
  <si>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</si>
  <si>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</si>
  <si>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</si>
  <si>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</si>
  <si>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</si>
  <si>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</si>
  <si>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</si>
  <si>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</si>
  <si>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</si>
  <si>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</si>
  <si>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</si>
  <si>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</si>
  <si>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</si>
  <si>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</si>
  <si>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</si>
  <si>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</si>
  <si>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</si>
  <si>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</si>
  <si>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</si>
  <si>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</si>
  <si>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</si>
  <si>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</si>
  <si>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</si>
  <si>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</si>
  <si>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Pendiente</t>
  </si>
  <si>
    <t>Ingresar credenciales correctas y verificar acceso, ingresar credenciales incorrectas y verificar mensaje de error, verificar que la contraseña se muestre enmascarada</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</si>
  <si>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</si>
  <si>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</si>
  <si>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</si>
  <si>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</si>
  <si>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</si>
  <si>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</si>
  <si>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</si>
  <si>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</si>
  <si>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</si>
  <si>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</si>
  <si>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</si>
  <si>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</si>
  <si>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</si>
  <si>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Se debe poder visualizar comandas pendientes  y completadas.</t>
  </si>
  <si>
    <t>Permitir seguimiento en tiempo real del estado de la comanda.</t>
  </si>
  <si>
    <t>Visualización y Seguimiento de Comandas.</t>
  </si>
  <si>
    <t>El programa debe Generar reportes detallando los datos de las comandas generadas diariamente (cliente, plato, camtidad, precio) incluyendo la hora, y obteniendo con ella totales de cada uno de los datos.</t>
  </si>
  <si>
    <t>Generación de reporte de Ventas</t>
  </si>
  <si>
    <t>RQ001</t>
  </si>
  <si>
    <t>RQ002</t>
  </si>
  <si>
    <t>RQ003</t>
  </si>
  <si>
    <t>Crear una interfaz de menú que muestre los platos disponibles con sus precios, permita seleccionar platos y cantidades, incluya un campo para comentarios del cliente, muestre un resumen del pedido con el total calculado automáticamente y un botón para confirmar y enviar la comanda a cocina.</t>
  </si>
  <si>
    <t>Desarrollar una pantalla con dos secciones visuales: Pedidos en Proceso (rojo) y Pedidos Listos (verde), donde cada pedido muestre su detalle e incluya un botón "Realizado" que al presionarse mueva automáticamente el pedido a la sección de listos y actualice la pantalla en tiempo real.</t>
  </si>
  <si>
    <t>Diseñar un generador de reporte diario que muestre el listado de platos vendidos con sus precios y cantidades, y calcule automáticamente el total general de ventas del día.</t>
  </si>
  <si>
    <t>Para probar la generación de comandas mediante la interfaz de menú, verificaremos que se muestren todos los productos con sus precios, que al seleccionar la cantidad de un producto se agregue automáticamente al resumen del pedido junto con cualquier comentario redactado en su apartado, que el total se calcule correctamente en tiempo real, y que al confirmar el pedido este se envíe y guarde correctamente en la base de datos.</t>
  </si>
  <si>
    <t>Verificar que la pantalla muestre correctamente las dos secciones con sus colores, que al presionar el botón "Realizado" en un pedido de la sección roja, este se mueva automáticamente a la sección verde, y que todos los cambios se reflejen en tiempo real.</t>
  </si>
  <si>
    <t>Al presionar el botón "Generar reporte" en la interfaz de ventas, se abrirá automáticamente una ventana emergente mostrando el reporte en formato PDF con el listado completo de platos vendidos en el día, incluyendo nombres, precios unitarios, cantidades vendidas y el total general de ventas.</t>
  </si>
  <si>
    <t>No Hay un control exacto sobre los reportes diarios.</t>
  </si>
  <si>
    <t>RQ006</t>
  </si>
  <si>
    <t>RQ005</t>
  </si>
  <si>
    <t>No existe una actualización de credenciales de usuario.</t>
  </si>
  <si>
    <t>Completado</t>
  </si>
  <si>
    <t>El sistema debe permitir modificar credenciales (usuario y contraseña) de cada empleado.</t>
  </si>
  <si>
    <t>Garantizar que los usuarios puedan mantener sus datos de acceso actualizados y seguros.</t>
  </si>
  <si>
    <t>Administrador / Usuario final</t>
  </si>
  <si>
    <t>Crear una interfaz en el perfil de usuario que permita cambiar nombre de usuario y contraseña, solicitando contraseña actual para autorizar cambios.</t>
  </si>
  <si>
    <t>Iniciar sesión, ir a perfil, intentar cambiar credenciales ingresando la contraseña actual y una nueva; verificar que el sistema actualice y permita acceso con las nuevas credenciales.</t>
  </si>
  <si>
    <t>Actualización de credenciales de usuario</t>
  </si>
  <si>
    <t>RQ007</t>
  </si>
  <si>
    <t>No existe un control exacto del tiempo de realización de la comanda</t>
  </si>
  <si>
    <t>El sistema debe registrar y mostrar el tiempo que tarda en completarse cada comanda</t>
  </si>
  <si>
    <t>Permitir medir la eficiencia del servicio y mejorar los tiempos de atención</t>
  </si>
  <si>
    <t>Administrador / Jefe de cocina</t>
  </si>
  <si>
    <t>Agregar un temporizador automático que inicie al generar la comanda y se detenga al marcar como "Realizado", mostrando el tiempo total en pantalla y generando reportes de tiempos promedio por tipo de plato</t>
  </si>
  <si>
    <t>Generar una comanda nueva, verificar que el temporizador inicie automáticamente, marcar como "Realizado" y verificar que muestre el tiempo total transcurrido, revisar reportes de tiempos</t>
  </si>
  <si>
    <t>Control de Tiempos de Comanda</t>
  </si>
  <si>
    <t>RQ008</t>
  </si>
  <si>
    <t>No existe la categorización del menú</t>
  </si>
  <si>
    <t>El sistema debe organizar los platos del menú en categorías (entradas, platos principales, postres, bebidas, etc.)</t>
  </si>
  <si>
    <t>Facilitar la navegación y selección de platos por parte del usuario, mejorando la experiencia de pedido</t>
  </si>
  <si>
    <t>Administrador / Cliente (mesero)</t>
  </si>
  <si>
    <t>Crear un sistema de categorías en la base de datos, modificar la interfaz de comandas para mostrar pestañas o filtros por categoría, permitir administración de categorías desde panel de control</t>
  </si>
  <si>
    <t>Verificar que en la interfaz de comandas los platos estén organizados por categorías, probar filtros entre categorías, agregar nuevos platos asignándoles categorías desde el panel de administración</t>
  </si>
  <si>
    <t>Categorización del Menú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</si>
</sst>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9" fillId="0" borderId="5"/>
    <xf numFmtId="0" fontId="19" fillId="0" borderId="5"/>
  </cellStyleXfs>
  <cellXfs count="106">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xf numFmtId="0" fontId="18" fillId="3" borderId="15" xfId="0" applyFont="1" applyFill="1" applyBorder="1" applyAlignment="1">
      <alignment horizontal="center" vertical="center" wrapText="1"/>
    </xf>
    <xf numFmtId="0" fontId="18" fillId="9" borderId="32" xfId="0" applyFont="1" applyFill="1" applyBorder="1" applyAlignment="1">
      <alignment horizontal="left" vertical="center" wrapText="1" indent="1"/>
    </xf>
    <xf numFmtId="14" fontId="18" fillId="9" borderId="32" xfId="0" applyNumberFormat="1" applyFont="1" applyFill="1" applyBorder="1" applyAlignment="1">
      <alignment horizontal="left" vertical="center" wrapText="1" inden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showGridLines="0" tabSelected="1" topLeftCell="A8" zoomScale="53" zoomScaleNormal="85" workbookViewId="0">
      <selection activeCell="T11" sqref="T11"/>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69921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4" t="s">
        <v>0</v>
      </c>
      <c r="C3" s="55"/>
      <c r="D3" s="55"/>
      <c r="E3" s="55"/>
      <c r="F3" s="55"/>
      <c r="G3" s="55"/>
      <c r="H3" s="55"/>
      <c r="I3" s="55"/>
      <c r="J3" s="55"/>
      <c r="K3" s="55"/>
      <c r="L3" s="55"/>
      <c r="M3" s="55"/>
      <c r="N3" s="55"/>
      <c r="O3" s="56"/>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56</v>
      </c>
      <c r="C6" s="50" t="s">
        <v>33</v>
      </c>
      <c r="D6" s="50" t="s">
        <v>48</v>
      </c>
      <c r="E6" s="50" t="s">
        <v>34</v>
      </c>
      <c r="F6" s="50" t="s">
        <v>42</v>
      </c>
      <c r="G6" s="50" t="s">
        <v>44</v>
      </c>
      <c r="H6" s="50" t="s">
        <v>35</v>
      </c>
      <c r="I6" s="50">
        <v>5</v>
      </c>
      <c r="J6" s="51">
        <v>45966</v>
      </c>
      <c r="K6" s="50" t="s">
        <v>16</v>
      </c>
      <c r="L6" s="50" t="s">
        <v>69</v>
      </c>
      <c r="M6" s="50" t="s">
        <v>37</v>
      </c>
      <c r="N6" s="50"/>
      <c r="O6" s="50" t="s">
        <v>45</v>
      </c>
      <c r="P6" s="5"/>
      <c r="Q6" s="5"/>
      <c r="R6" s="5"/>
      <c r="S6" s="5"/>
      <c r="T6" s="5"/>
      <c r="U6" s="5"/>
      <c r="V6" s="5"/>
      <c r="W6" s="5"/>
      <c r="X6" s="5"/>
      <c r="Y6" s="5"/>
      <c r="Z6" s="5"/>
    </row>
    <row r="7" spans="1:26" ht="183" customHeight="1" x14ac:dyDescent="0.25">
      <c r="A7" s="4"/>
      <c r="B7" s="50" t="s">
        <v>57</v>
      </c>
      <c r="C7" s="50" t="s">
        <v>40</v>
      </c>
      <c r="D7" s="50" t="s">
        <v>49</v>
      </c>
      <c r="E7" s="50" t="s">
        <v>50</v>
      </c>
      <c r="F7" s="50" t="s">
        <v>42</v>
      </c>
      <c r="G7" s="50" t="s">
        <v>59</v>
      </c>
      <c r="H7" s="50" t="s">
        <v>38</v>
      </c>
      <c r="I7" s="50">
        <v>20</v>
      </c>
      <c r="J7" s="51">
        <v>45976</v>
      </c>
      <c r="K7" s="50" t="s">
        <v>16</v>
      </c>
      <c r="L7" s="50" t="s">
        <v>69</v>
      </c>
      <c r="M7" s="50" t="s">
        <v>62</v>
      </c>
      <c r="N7" s="50"/>
      <c r="O7" s="50" t="s">
        <v>41</v>
      </c>
      <c r="P7" s="1"/>
      <c r="Q7" s="1"/>
      <c r="R7" s="1"/>
      <c r="S7" s="1"/>
      <c r="T7" s="1"/>
      <c r="U7" s="1"/>
      <c r="V7" s="1"/>
      <c r="W7" s="1"/>
      <c r="X7" s="1"/>
      <c r="Y7" s="1"/>
      <c r="Z7" s="1"/>
    </row>
    <row r="8" spans="1:26" ht="138" customHeight="1" x14ac:dyDescent="0.25">
      <c r="A8" s="4"/>
      <c r="B8" s="50" t="s">
        <v>58</v>
      </c>
      <c r="C8" s="52" t="s">
        <v>47</v>
      </c>
      <c r="D8" s="50" t="s">
        <v>51</v>
      </c>
      <c r="E8" s="52" t="s">
        <v>52</v>
      </c>
      <c r="F8" s="50" t="s">
        <v>42</v>
      </c>
      <c r="G8" s="52" t="s">
        <v>60</v>
      </c>
      <c r="H8" s="52" t="s">
        <v>43</v>
      </c>
      <c r="I8" s="52">
        <v>18</v>
      </c>
      <c r="J8" s="53">
        <v>45979</v>
      </c>
      <c r="K8" s="52" t="s">
        <v>16</v>
      </c>
      <c r="L8" s="52" t="s">
        <v>69</v>
      </c>
      <c r="M8" s="52" t="s">
        <v>63</v>
      </c>
      <c r="N8" s="52"/>
      <c r="O8" s="52" t="s">
        <v>53</v>
      </c>
      <c r="P8" s="1"/>
      <c r="Q8" s="1"/>
      <c r="R8" s="1"/>
      <c r="S8" s="1"/>
      <c r="T8" s="1"/>
      <c r="U8" s="1"/>
      <c r="V8" s="1"/>
      <c r="W8" s="1"/>
      <c r="X8" s="1"/>
      <c r="Y8" s="1"/>
      <c r="Z8" s="1"/>
    </row>
    <row r="9" spans="1:26" ht="138" customHeight="1" x14ac:dyDescent="0.25">
      <c r="A9" s="4"/>
      <c r="B9" s="50" t="s">
        <v>67</v>
      </c>
      <c r="C9" s="52" t="s">
        <v>68</v>
      </c>
      <c r="D9" s="50" t="s">
        <v>70</v>
      </c>
      <c r="E9" s="52" t="s">
        <v>71</v>
      </c>
      <c r="F9" s="50" t="s">
        <v>72</v>
      </c>
      <c r="G9" s="52" t="s">
        <v>73</v>
      </c>
      <c r="H9" s="52" t="s">
        <v>35</v>
      </c>
      <c r="I9" s="52">
        <v>6</v>
      </c>
      <c r="J9" s="53">
        <v>46032</v>
      </c>
      <c r="K9" s="52" t="s">
        <v>39</v>
      </c>
      <c r="L9" s="52" t="s">
        <v>36</v>
      </c>
      <c r="M9" s="52" t="s">
        <v>74</v>
      </c>
      <c r="N9" s="52"/>
      <c r="O9" s="52" t="s">
        <v>75</v>
      </c>
      <c r="P9" s="1"/>
      <c r="Q9" s="1"/>
      <c r="R9" s="1"/>
      <c r="S9" s="1"/>
      <c r="T9" s="1"/>
      <c r="U9" s="1"/>
      <c r="V9" s="1"/>
      <c r="W9" s="1"/>
      <c r="X9" s="1"/>
      <c r="Y9" s="1"/>
      <c r="Z9" s="1"/>
    </row>
    <row r="10" spans="1:26" ht="138" customHeight="1" x14ac:dyDescent="0.25">
      <c r="A10" s="4"/>
      <c r="B10" s="103" t="s">
        <v>66</v>
      </c>
      <c r="C10" s="104" t="s">
        <v>65</v>
      </c>
      <c r="D10" s="104" t="s">
        <v>54</v>
      </c>
      <c r="E10" s="104" t="s">
        <v>46</v>
      </c>
      <c r="F10" s="104" t="s">
        <v>42</v>
      </c>
      <c r="G10" s="104" t="s">
        <v>61</v>
      </c>
      <c r="H10" s="104" t="s">
        <v>35</v>
      </c>
      <c r="I10" s="104">
        <v>14</v>
      </c>
      <c r="J10" s="105">
        <v>45983</v>
      </c>
      <c r="K10" s="104" t="s">
        <v>39</v>
      </c>
      <c r="L10" s="104" t="s">
        <v>36</v>
      </c>
      <c r="M10" s="104" t="s">
        <v>64</v>
      </c>
      <c r="N10" s="104"/>
      <c r="O10" s="104" t="s">
        <v>55</v>
      </c>
      <c r="P10" s="1"/>
      <c r="Q10" s="1"/>
      <c r="R10" s="1"/>
      <c r="S10" s="1"/>
      <c r="T10" s="1"/>
      <c r="U10" s="1"/>
      <c r="V10" s="1"/>
      <c r="W10" s="1"/>
      <c r="X10" s="1"/>
      <c r="Y10" s="1"/>
      <c r="Z10" s="1"/>
    </row>
    <row r="11" spans="1:26" ht="136.94999999999999" customHeight="1" x14ac:dyDescent="0.25">
      <c r="A11" s="4"/>
      <c r="B11" s="50" t="s">
        <v>76</v>
      </c>
      <c r="C11" s="50" t="s">
        <v>77</v>
      </c>
      <c r="D11" s="50" t="s">
        <v>78</v>
      </c>
      <c r="E11" s="50" t="s">
        <v>79</v>
      </c>
      <c r="F11" s="50" t="s">
        <v>80</v>
      </c>
      <c r="G11" s="50" t="s">
        <v>81</v>
      </c>
      <c r="H11" s="50" t="s">
        <v>43</v>
      </c>
      <c r="I11" s="50">
        <v>8</v>
      </c>
      <c r="J11" s="51">
        <v>45991</v>
      </c>
      <c r="K11" s="50" t="s">
        <v>39</v>
      </c>
      <c r="L11" s="50" t="s">
        <v>36</v>
      </c>
      <c r="M11" s="50" t="s">
        <v>82</v>
      </c>
      <c r="N11" s="50"/>
      <c r="O11" s="50" t="s">
        <v>83</v>
      </c>
      <c r="P11" s="1"/>
      <c r="Q11" s="1"/>
      <c r="R11" s="1"/>
      <c r="S11" s="1"/>
      <c r="T11" s="1"/>
      <c r="U11" s="1"/>
      <c r="V11" s="1"/>
      <c r="W11" s="1"/>
      <c r="X11" s="1"/>
      <c r="Y11" s="1"/>
      <c r="Z11" s="1"/>
    </row>
    <row r="12" spans="1:26" ht="146.4" customHeight="1" x14ac:dyDescent="0.25">
      <c r="B12" s="50" t="s">
        <v>84</v>
      </c>
      <c r="C12" s="50" t="s">
        <v>85</v>
      </c>
      <c r="D12" s="50" t="s">
        <v>86</v>
      </c>
      <c r="E12" s="50" t="s">
        <v>87</v>
      </c>
      <c r="F12" s="50" t="s">
        <v>88</v>
      </c>
      <c r="G12" s="50" t="s">
        <v>89</v>
      </c>
      <c r="H12" s="50" t="s">
        <v>38</v>
      </c>
      <c r="I12" s="50">
        <v>12</v>
      </c>
      <c r="J12" s="51">
        <v>45996</v>
      </c>
      <c r="K12" s="50" t="s">
        <v>16</v>
      </c>
      <c r="L12" s="50" t="s">
        <v>36</v>
      </c>
      <c r="M12" s="50" t="s">
        <v>90</v>
      </c>
      <c r="N12" s="50"/>
      <c r="O12" s="50" t="s">
        <v>91</v>
      </c>
    </row>
    <row r="13" spans="1:26" ht="61.5" customHeight="1" x14ac:dyDescent="0.25">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58.5" customHeight="1" x14ac:dyDescent="0.25">
      <c r="A14" s="4"/>
      <c r="B14" s="4"/>
      <c r="C14" s="4"/>
      <c r="D14" s="4"/>
      <c r="E14" s="4"/>
      <c r="F14" s="4"/>
      <c r="G14" s="4"/>
      <c r="H14" s="4"/>
      <c r="I14" s="4"/>
      <c r="J14" s="4"/>
      <c r="K14" s="4"/>
      <c r="L14" s="4"/>
      <c r="M14" s="4"/>
      <c r="N14" s="4"/>
      <c r="O14" s="1"/>
      <c r="P14" s="1"/>
      <c r="Q14" s="1"/>
      <c r="R14" s="1"/>
      <c r="S14" s="1"/>
      <c r="T14" s="1"/>
      <c r="U14" s="1"/>
      <c r="V14" s="1"/>
      <c r="W14" s="1"/>
      <c r="X14" s="1"/>
      <c r="Y14" s="1"/>
      <c r="Z14" s="1"/>
    </row>
    <row r="15" spans="1:26" ht="39.75" customHeight="1" x14ac:dyDescent="0.25">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7"/>
      <c r="N17" s="11"/>
      <c r="O17" s="10"/>
      <c r="P17" s="1"/>
      <c r="Q17" s="1"/>
      <c r="R17" s="1"/>
      <c r="S17" s="1"/>
      <c r="T17" s="1"/>
      <c r="U17" s="1"/>
      <c r="V17" s="1"/>
      <c r="W17" s="1"/>
      <c r="X17" s="1"/>
      <c r="Y17" s="1"/>
      <c r="Z17" s="1"/>
    </row>
    <row r="18" spans="1:26" ht="39.75" customHeight="1" x14ac:dyDescent="0.25">
      <c r="A18" s="4"/>
      <c r="B18" s="6"/>
      <c r="C18" s="7"/>
      <c r="D18" s="7"/>
      <c r="E18" s="4"/>
      <c r="F18" s="7"/>
      <c r="G18" s="7"/>
      <c r="H18" s="7"/>
      <c r="I18" s="8"/>
      <c r="J18" s="9"/>
      <c r="K18" s="8"/>
      <c r="L18" s="8"/>
      <c r="M18" s="7"/>
      <c r="N18" s="7"/>
      <c r="O18" s="10"/>
      <c r="P18" s="1"/>
      <c r="Q18" s="1"/>
      <c r="R18" s="1"/>
      <c r="S18" s="1"/>
      <c r="T18" s="1"/>
      <c r="U18" s="1"/>
      <c r="V18" s="1"/>
      <c r="W18" s="1"/>
      <c r="X18" s="1"/>
      <c r="Y18" s="1"/>
      <c r="Z18" s="1"/>
    </row>
    <row r="19" spans="1:26" ht="39.75" customHeight="1" x14ac:dyDescent="0.25">
      <c r="A19" s="4"/>
      <c r="B19" s="6"/>
      <c r="C19" s="7"/>
      <c r="D19" s="7"/>
      <c r="E19" s="7"/>
      <c r="F19" s="7"/>
      <c r="G19" s="7"/>
      <c r="H19" s="7"/>
      <c r="I19" s="8"/>
      <c r="J19" s="9"/>
      <c r="K19" s="8"/>
      <c r="L19" s="8"/>
      <c r="M19" s="11"/>
      <c r="N19" s="7"/>
      <c r="O19" s="10"/>
      <c r="P19" s="1"/>
      <c r="Q19" s="1"/>
      <c r="R19" s="1"/>
      <c r="S19" s="1"/>
      <c r="T19" s="1"/>
      <c r="U19" s="1"/>
      <c r="V19" s="1"/>
      <c r="W19" s="1"/>
      <c r="X19" s="1"/>
      <c r="Y19" s="1"/>
      <c r="Z19" s="1"/>
    </row>
    <row r="20" spans="1:26" ht="39.75" customHeight="1" x14ac:dyDescent="0.25">
      <c r="A20" s="4"/>
      <c r="B20" s="6"/>
      <c r="C20" s="7"/>
      <c r="D20" s="7"/>
      <c r="E20" s="7"/>
      <c r="F20" s="7"/>
      <c r="G20" s="7"/>
      <c r="H20" s="7"/>
      <c r="I20" s="8"/>
      <c r="J20" s="9"/>
      <c r="K20" s="8"/>
      <c r="L20" s="8"/>
      <c r="M20" s="7" t="s">
        <v>20</v>
      </c>
      <c r="N20" s="7"/>
      <c r="O20" s="12"/>
      <c r="P20" s="1"/>
      <c r="Q20" s="1"/>
      <c r="R20" s="1"/>
      <c r="S20" s="1"/>
      <c r="T20" s="1"/>
      <c r="U20" s="1"/>
      <c r="V20" s="1"/>
      <c r="W20" s="1"/>
      <c r="X20" s="1"/>
      <c r="Y20" s="1"/>
      <c r="Z20" s="1"/>
    </row>
    <row r="21" spans="1:26" ht="19.5" customHeight="1" x14ac:dyDescent="0.25">
      <c r="A21" s="4"/>
      <c r="B21" s="4"/>
      <c r="C21" s="4"/>
      <c r="D21" s="4"/>
      <c r="E21" s="4"/>
      <c r="F21" s="4"/>
      <c r="G21" s="4"/>
      <c r="H21" s="4"/>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11"/>
      <c r="I23" s="13"/>
      <c r="J23" s="13"/>
      <c r="K23" s="14"/>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4"/>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5"/>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13"/>
      <c r="K26" s="15"/>
      <c r="L26" s="13"/>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13"/>
      <c r="K27" s="14"/>
      <c r="L27" s="13"/>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4"/>
      <c r="L28" s="4"/>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4"/>
      <c r="L29" s="4"/>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16</v>
      </c>
      <c r="L30" s="14" t="s">
        <v>18</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t="s">
        <v>19</v>
      </c>
      <c r="L31" s="14" t="s">
        <v>17</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14" t="s">
        <v>21</v>
      </c>
      <c r="L32" s="14" t="s">
        <v>22</v>
      </c>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14"/>
      <c r="L33" s="14" t="s">
        <v>23</v>
      </c>
      <c r="M33" s="4"/>
      <c r="N33" s="4"/>
      <c r="O33" s="1"/>
      <c r="P33" s="1"/>
      <c r="Q33" s="1"/>
      <c r="R33" s="1"/>
      <c r="S33" s="1"/>
      <c r="T33" s="1"/>
      <c r="U33" s="1"/>
      <c r="V33" s="1"/>
      <c r="W33" s="1"/>
      <c r="X33" s="1"/>
      <c r="Y33" s="1"/>
      <c r="Z33" s="1"/>
    </row>
    <row r="34" spans="1:26" ht="19.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9.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4"/>
      <c r="K36" s="4"/>
      <c r="L36" s="4"/>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4"/>
      <c r="K37" s="4"/>
      <c r="L37" s="4"/>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row r="1000" spans="1:26" ht="15.75" customHeight="1" x14ac:dyDescent="0.25">
      <c r="A1000" s="4"/>
      <c r="B1000" s="4"/>
      <c r="C1000" s="4"/>
      <c r="D1000" s="4"/>
      <c r="E1000" s="4"/>
      <c r="F1000" s="4"/>
      <c r="G1000" s="4"/>
      <c r="H1000" s="4"/>
      <c r="I1000" s="13"/>
      <c r="J1000" s="13"/>
      <c r="K1000" s="14"/>
      <c r="L1000" s="13"/>
      <c r="M1000" s="4"/>
      <c r="N1000" s="4"/>
      <c r="O1000" s="1"/>
      <c r="P1000" s="1"/>
      <c r="Q1000" s="1"/>
      <c r="R1000" s="1"/>
      <c r="S1000" s="1"/>
      <c r="T1000" s="1"/>
      <c r="U1000" s="1"/>
      <c r="V1000" s="1"/>
      <c r="W1000" s="1"/>
      <c r="X1000" s="1"/>
      <c r="Y1000" s="1"/>
      <c r="Z1000" s="1"/>
    </row>
    <row r="1001" spans="1:26" ht="15.75" customHeight="1" x14ac:dyDescent="0.25">
      <c r="A1001" s="4"/>
      <c r="B1001" s="4"/>
      <c r="C1001" s="4"/>
      <c r="D1001" s="4"/>
      <c r="E1001" s="4"/>
      <c r="F1001" s="4"/>
      <c r="G1001" s="4"/>
      <c r="H1001" s="4"/>
      <c r="I1001" s="13"/>
      <c r="J1001" s="13"/>
      <c r="K1001" s="14"/>
      <c r="L1001" s="13"/>
      <c r="M1001" s="4"/>
      <c r="N1001" s="4"/>
      <c r="O1001" s="1"/>
      <c r="P1001" s="1"/>
      <c r="Q1001" s="1"/>
      <c r="R1001" s="1"/>
      <c r="S1001" s="1"/>
      <c r="T1001" s="1"/>
      <c r="U1001" s="1"/>
      <c r="V1001" s="1"/>
      <c r="W1001" s="1"/>
      <c r="X1001" s="1"/>
      <c r="Y1001" s="1"/>
      <c r="Z1001" s="1"/>
    </row>
  </sheetData>
  <mergeCells count="1">
    <mergeCell ref="B3:O3"/>
  </mergeCells>
  <dataValidations count="1">
    <dataValidation type="list" allowBlank="1" showErrorMessage="1" sqref="K13:L20"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2" t="s">
        <v>24</v>
      </c>
      <c r="C6" s="55"/>
      <c r="D6" s="55"/>
      <c r="E6" s="55"/>
      <c r="F6" s="55"/>
      <c r="G6" s="55"/>
      <c r="H6" s="55"/>
      <c r="I6" s="55"/>
      <c r="J6" s="55"/>
      <c r="K6" s="55"/>
      <c r="L6" s="55"/>
      <c r="M6" s="55"/>
      <c r="N6" s="55"/>
      <c r="O6" s="55"/>
      <c r="P6" s="56"/>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0" t="s">
        <v>25</v>
      </c>
      <c r="F9" s="56"/>
      <c r="G9" s="27"/>
      <c r="H9" s="90" t="s">
        <v>11</v>
      </c>
      <c r="I9" s="56"/>
      <c r="J9" s="28"/>
      <c r="K9" s="28"/>
      <c r="L9" s="28"/>
      <c r="M9" s="28"/>
      <c r="N9" s="28"/>
      <c r="O9" s="28"/>
      <c r="P9" s="29"/>
      <c r="Q9" s="18"/>
    </row>
    <row r="10" spans="1:26" ht="30" customHeight="1" x14ac:dyDescent="0.25">
      <c r="B10" s="25"/>
      <c r="C10" s="30" t="s">
        <v>15</v>
      </c>
      <c r="D10" s="31"/>
      <c r="E10" s="91" t="e">
        <f>VLOOKUP(C10,'Formato descripción HU'!B6:O20,5,0)</f>
        <v>#N/A</v>
      </c>
      <c r="F10" s="56"/>
      <c r="G10" s="32"/>
      <c r="H10" s="91" t="e">
        <f>VLOOKUP(C10,'Formato descripción HU'!B6:O20,11,0)</f>
        <v>#N/A</v>
      </c>
      <c r="I10" s="56"/>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26</v>
      </c>
      <c r="D12" s="31"/>
      <c r="E12" s="90" t="s">
        <v>10</v>
      </c>
      <c r="F12" s="56"/>
      <c r="G12" s="32"/>
      <c r="H12" s="90" t="s">
        <v>27</v>
      </c>
      <c r="I12" s="56"/>
      <c r="J12" s="32"/>
      <c r="K12" s="34"/>
      <c r="L12" s="34"/>
      <c r="M12" s="28"/>
      <c r="N12" s="34"/>
      <c r="O12" s="34"/>
      <c r="P12" s="29"/>
      <c r="Q12" s="18"/>
      <c r="R12" s="18"/>
      <c r="S12" s="18"/>
      <c r="T12" s="18"/>
      <c r="U12" s="18"/>
      <c r="V12" s="18"/>
      <c r="W12" s="18"/>
      <c r="X12" s="18"/>
      <c r="Y12" s="18"/>
      <c r="Z12" s="18"/>
    </row>
    <row r="13" spans="1:26" ht="30" customHeight="1" x14ac:dyDescent="0.25">
      <c r="A13" s="18"/>
      <c r="B13" s="25"/>
      <c r="C13" s="30" t="e">
        <f>VLOOKUP('Historia de Usuario'!C10,'Formato descripción HU'!B6:O20,8,0)</f>
        <v>#N/A</v>
      </c>
      <c r="D13" s="31"/>
      <c r="E13" s="91" t="e">
        <f>VLOOKUP(C10,'Formato descripción HU'!B6:O20,10,0)</f>
        <v>#N/A</v>
      </c>
      <c r="F13" s="56"/>
      <c r="G13" s="32"/>
      <c r="H13" s="91" t="e">
        <f>VLOOKUP(C10,'Formato descripción HU'!B6:O20,7,0)</f>
        <v>#N/A</v>
      </c>
      <c r="I13" s="56"/>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79" t="s">
        <v>28</v>
      </c>
      <c r="D15" s="77" t="e">
        <f>VLOOKUP(C10,'Formato descripción HU'!B6:O20,3,0)</f>
        <v>#N/A</v>
      </c>
      <c r="E15" s="69"/>
      <c r="F15" s="35"/>
      <c r="G15" s="79" t="s">
        <v>29</v>
      </c>
      <c r="H15" s="77" t="e">
        <f>VLOOKUP(C10,'Formato descripción HU'!B6:O20,4,0)</f>
        <v>#N/A</v>
      </c>
      <c r="I15" s="75"/>
      <c r="J15" s="69"/>
      <c r="K15" s="35"/>
      <c r="L15" s="79" t="s">
        <v>30</v>
      </c>
      <c r="M15" s="82" t="e">
        <f>VLOOKUP(C10,'Formato descripción HU'!B6:O20,6,0)</f>
        <v>#N/A</v>
      </c>
      <c r="N15" s="75"/>
      <c r="O15" s="69"/>
      <c r="P15" s="29"/>
      <c r="Q15" s="18"/>
      <c r="R15" s="18"/>
      <c r="S15" s="18"/>
      <c r="T15" s="18"/>
      <c r="U15" s="18"/>
      <c r="V15" s="18"/>
      <c r="W15" s="18"/>
      <c r="X15" s="18"/>
      <c r="Y15" s="18"/>
      <c r="Z15" s="18"/>
    </row>
    <row r="16" spans="1:26" ht="19.5" customHeight="1" x14ac:dyDescent="0.25">
      <c r="A16" s="18"/>
      <c r="B16" s="25"/>
      <c r="C16" s="80"/>
      <c r="D16" s="70"/>
      <c r="E16" s="71"/>
      <c r="F16" s="35"/>
      <c r="G16" s="80"/>
      <c r="H16" s="70"/>
      <c r="I16" s="58"/>
      <c r="J16" s="71"/>
      <c r="K16" s="35"/>
      <c r="L16" s="80"/>
      <c r="M16" s="70"/>
      <c r="N16" s="58"/>
      <c r="O16" s="71"/>
      <c r="P16" s="29"/>
      <c r="Q16" s="18"/>
      <c r="R16" s="18"/>
      <c r="S16" s="18"/>
      <c r="T16" s="18"/>
      <c r="U16" s="18"/>
      <c r="V16" s="18"/>
      <c r="W16" s="18"/>
      <c r="X16" s="18"/>
      <c r="Y16" s="18"/>
      <c r="Z16" s="18"/>
    </row>
    <row r="17" spans="1:26" ht="19.5" customHeight="1" x14ac:dyDescent="0.25">
      <c r="A17" s="18"/>
      <c r="B17" s="25"/>
      <c r="C17" s="81"/>
      <c r="D17" s="72"/>
      <c r="E17" s="73"/>
      <c r="F17" s="35"/>
      <c r="G17" s="81"/>
      <c r="H17" s="72"/>
      <c r="I17" s="76"/>
      <c r="J17" s="73"/>
      <c r="K17" s="35"/>
      <c r="L17" s="81"/>
      <c r="M17" s="72"/>
      <c r="N17" s="76"/>
      <c r="O17" s="73"/>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89" t="s">
        <v>31</v>
      </c>
      <c r="D19" s="69"/>
      <c r="E19" s="83" t="e">
        <f>VLOOKUP(C10,'Formato descripción HU'!B6:O20,14,0)</f>
        <v>#N/A</v>
      </c>
      <c r="F19" s="84"/>
      <c r="G19" s="84"/>
      <c r="H19" s="84"/>
      <c r="I19" s="84"/>
      <c r="J19" s="84"/>
      <c r="K19" s="84"/>
      <c r="L19" s="84"/>
      <c r="M19" s="84"/>
      <c r="N19" s="84"/>
      <c r="O19" s="85"/>
      <c r="P19" s="29"/>
      <c r="Q19" s="18"/>
    </row>
    <row r="20" spans="1:26" ht="19.5" customHeight="1" x14ac:dyDescent="0.25">
      <c r="B20" s="25"/>
      <c r="C20" s="72"/>
      <c r="D20" s="73"/>
      <c r="E20" s="86"/>
      <c r="F20" s="87"/>
      <c r="G20" s="87"/>
      <c r="H20" s="87"/>
      <c r="I20" s="87"/>
      <c r="J20" s="87"/>
      <c r="K20" s="87"/>
      <c r="L20" s="87"/>
      <c r="M20" s="87"/>
      <c r="N20" s="87"/>
      <c r="O20" s="88"/>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68" t="s">
        <v>32</v>
      </c>
      <c r="D22" s="69"/>
      <c r="E22" s="74" t="e">
        <f>VLOOKUP(C10,'Formato descripción HU'!B6:O20,12,0)</f>
        <v>#N/A</v>
      </c>
      <c r="F22" s="75"/>
      <c r="G22" s="75"/>
      <c r="H22" s="69"/>
      <c r="I22" s="28"/>
      <c r="J22" s="68" t="s">
        <v>13</v>
      </c>
      <c r="K22" s="69"/>
      <c r="L22" s="77" t="e">
        <f>VLOOKUP(C10,'Formato descripción HU'!B6:O20,13,0)</f>
        <v>#N/A</v>
      </c>
      <c r="M22" s="75"/>
      <c r="N22" s="75"/>
      <c r="O22" s="69"/>
      <c r="P22" s="29"/>
      <c r="Q22" s="18"/>
      <c r="R22" s="18"/>
      <c r="S22" s="18"/>
      <c r="T22" s="18"/>
      <c r="U22" s="18"/>
      <c r="V22" s="18"/>
      <c r="W22" s="18"/>
      <c r="X22" s="18"/>
      <c r="Y22" s="18"/>
      <c r="Z22" s="18"/>
    </row>
    <row r="23" spans="1:26" ht="19.5" customHeight="1" x14ac:dyDescent="0.25">
      <c r="A23" s="18"/>
      <c r="B23" s="25"/>
      <c r="C23" s="70"/>
      <c r="D23" s="71"/>
      <c r="E23" s="70"/>
      <c r="F23" s="58"/>
      <c r="G23" s="58"/>
      <c r="H23" s="71"/>
      <c r="I23" s="28"/>
      <c r="J23" s="70"/>
      <c r="K23" s="71"/>
      <c r="L23" s="70"/>
      <c r="M23" s="58"/>
      <c r="N23" s="58"/>
      <c r="O23" s="71"/>
      <c r="P23" s="29"/>
      <c r="Q23" s="18"/>
      <c r="R23" s="18"/>
      <c r="S23" s="18"/>
      <c r="T23" s="18"/>
      <c r="U23" s="18"/>
      <c r="V23" s="18"/>
      <c r="W23" s="18"/>
      <c r="X23" s="18"/>
      <c r="Y23" s="18"/>
      <c r="Z23" s="18"/>
    </row>
    <row r="24" spans="1:26" ht="19.5" customHeight="1" x14ac:dyDescent="0.25">
      <c r="A24" s="18"/>
      <c r="B24" s="25"/>
      <c r="C24" s="72"/>
      <c r="D24" s="73"/>
      <c r="E24" s="72"/>
      <c r="F24" s="76"/>
      <c r="G24" s="76"/>
      <c r="H24" s="73"/>
      <c r="I24" s="28"/>
      <c r="J24" s="72"/>
      <c r="K24" s="73"/>
      <c r="L24" s="72"/>
      <c r="M24" s="76"/>
      <c r="N24" s="76"/>
      <c r="O24" s="73"/>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78"/>
      <c r="C27" s="58"/>
      <c r="D27" s="58"/>
      <c r="E27" s="58"/>
      <c r="F27" s="58"/>
      <c r="G27" s="58"/>
      <c r="H27" s="58"/>
      <c r="I27" s="58"/>
      <c r="J27" s="58"/>
      <c r="K27" s="58"/>
      <c r="L27" s="58"/>
      <c r="M27" s="58"/>
      <c r="N27" s="58"/>
      <c r="O27" s="58"/>
      <c r="P27" s="58"/>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1"/>
      <c r="F30" s="58"/>
      <c r="G30" s="40"/>
      <c r="H30" s="61"/>
      <c r="I30" s="58"/>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1"/>
      <c r="F31" s="58"/>
      <c r="G31" s="42"/>
      <c r="H31" s="61"/>
      <c r="I31" s="58"/>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59"/>
      <c r="F32" s="58"/>
      <c r="G32" s="42"/>
      <c r="H32" s="59"/>
      <c r="I32" s="58"/>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1"/>
      <c r="D34" s="62"/>
      <c r="E34" s="58"/>
      <c r="F34" s="45"/>
      <c r="G34" s="61"/>
      <c r="H34" s="62"/>
      <c r="I34" s="58"/>
      <c r="J34" s="58"/>
      <c r="K34" s="45"/>
      <c r="L34" s="61"/>
      <c r="M34" s="66"/>
      <c r="N34" s="58"/>
      <c r="O34" s="58"/>
      <c r="P34" s="18"/>
    </row>
    <row r="35" spans="1:16" ht="19.5" customHeight="1" x14ac:dyDescent="0.25">
      <c r="A35" s="18"/>
      <c r="B35" s="18"/>
      <c r="C35" s="58"/>
      <c r="D35" s="58"/>
      <c r="E35" s="58"/>
      <c r="F35" s="45"/>
      <c r="G35" s="58"/>
      <c r="H35" s="58"/>
      <c r="I35" s="58"/>
      <c r="J35" s="58"/>
      <c r="K35" s="45"/>
      <c r="L35" s="58"/>
      <c r="M35" s="58"/>
      <c r="N35" s="58"/>
      <c r="O35" s="58"/>
      <c r="P35" s="18"/>
    </row>
    <row r="36" spans="1:16" ht="19.5" customHeight="1" x14ac:dyDescent="0.25">
      <c r="A36" s="18"/>
      <c r="B36" s="18"/>
      <c r="C36" s="58"/>
      <c r="D36" s="58"/>
      <c r="E36" s="58"/>
      <c r="F36" s="45"/>
      <c r="G36" s="58"/>
      <c r="H36" s="58"/>
      <c r="I36" s="58"/>
      <c r="J36" s="58"/>
      <c r="K36" s="45"/>
      <c r="L36" s="58"/>
      <c r="M36" s="58"/>
      <c r="N36" s="58"/>
      <c r="O36" s="58"/>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5"/>
      <c r="D38" s="58"/>
      <c r="E38" s="67"/>
      <c r="F38" s="58"/>
      <c r="G38" s="58"/>
      <c r="H38" s="58"/>
      <c r="I38" s="58"/>
      <c r="J38" s="58"/>
      <c r="K38" s="58"/>
      <c r="L38" s="58"/>
      <c r="M38" s="58"/>
      <c r="N38" s="58"/>
      <c r="O38" s="58"/>
      <c r="P38" s="18"/>
    </row>
    <row r="39" spans="1:16" ht="19.5" customHeight="1" x14ac:dyDescent="0.25">
      <c r="B39" s="18"/>
      <c r="C39" s="58"/>
      <c r="D39" s="58"/>
      <c r="E39" s="58"/>
      <c r="F39" s="58"/>
      <c r="G39" s="58"/>
      <c r="H39" s="58"/>
      <c r="I39" s="58"/>
      <c r="J39" s="58"/>
      <c r="K39" s="58"/>
      <c r="L39" s="58"/>
      <c r="M39" s="58"/>
      <c r="N39" s="58"/>
      <c r="O39" s="58"/>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1"/>
      <c r="D41" s="58"/>
      <c r="E41" s="64"/>
      <c r="F41" s="58"/>
      <c r="G41" s="58"/>
      <c r="H41" s="58"/>
      <c r="I41" s="18"/>
      <c r="J41" s="61"/>
      <c r="K41" s="58"/>
      <c r="L41" s="62"/>
      <c r="M41" s="58"/>
      <c r="N41" s="58"/>
      <c r="O41" s="58"/>
      <c r="P41" s="18"/>
    </row>
    <row r="42" spans="1:16" ht="19.5" customHeight="1" x14ac:dyDescent="0.25">
      <c r="A42" s="18"/>
      <c r="B42" s="18"/>
      <c r="C42" s="58"/>
      <c r="D42" s="58"/>
      <c r="E42" s="58"/>
      <c r="F42" s="58"/>
      <c r="G42" s="58"/>
      <c r="H42" s="58"/>
      <c r="I42" s="18"/>
      <c r="J42" s="58"/>
      <c r="K42" s="58"/>
      <c r="L42" s="58"/>
      <c r="M42" s="58"/>
      <c r="N42" s="58"/>
      <c r="O42" s="58"/>
      <c r="P42" s="18"/>
    </row>
    <row r="43" spans="1:16" ht="19.5" customHeight="1" x14ac:dyDescent="0.25">
      <c r="A43" s="18"/>
      <c r="B43" s="18"/>
      <c r="C43" s="58"/>
      <c r="D43" s="58"/>
      <c r="E43" s="58"/>
      <c r="F43" s="58"/>
      <c r="G43" s="58"/>
      <c r="H43" s="58"/>
      <c r="I43" s="18"/>
      <c r="J43" s="58"/>
      <c r="K43" s="58"/>
      <c r="L43" s="58"/>
      <c r="M43" s="58"/>
      <c r="N43" s="58"/>
      <c r="O43" s="58"/>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3"/>
      <c r="C46" s="58"/>
      <c r="D46" s="58"/>
      <c r="E46" s="58"/>
      <c r="F46" s="58"/>
      <c r="G46" s="58"/>
      <c r="H46" s="58"/>
      <c r="I46" s="58"/>
      <c r="J46" s="58"/>
      <c r="K46" s="58"/>
      <c r="L46" s="58"/>
      <c r="M46" s="58"/>
      <c r="N46" s="58"/>
      <c r="O46" s="58"/>
      <c r="P46" s="58"/>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0"/>
      <c r="F49" s="58"/>
      <c r="G49" s="18"/>
      <c r="H49" s="60"/>
      <c r="I49" s="58"/>
      <c r="J49" s="18"/>
      <c r="K49" s="18"/>
      <c r="L49" s="18"/>
      <c r="M49" s="18"/>
      <c r="N49" s="18"/>
      <c r="O49" s="18"/>
      <c r="P49" s="18"/>
    </row>
    <row r="50" spans="1:16" ht="19.5" customHeight="1" x14ac:dyDescent="0.3">
      <c r="A50" s="18"/>
      <c r="B50" s="18"/>
      <c r="C50" s="47"/>
      <c r="D50" s="18"/>
      <c r="E50" s="57"/>
      <c r="F50" s="58"/>
      <c r="G50" s="18"/>
      <c r="H50" s="59"/>
      <c r="I50" s="58"/>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0"/>
      <c r="F52" s="58"/>
      <c r="G52" s="18"/>
      <c r="H52" s="60"/>
      <c r="I52" s="58"/>
      <c r="J52" s="18"/>
      <c r="K52" s="18"/>
      <c r="L52" s="18"/>
      <c r="M52" s="18"/>
      <c r="N52" s="18"/>
      <c r="O52" s="18"/>
      <c r="P52" s="18"/>
    </row>
    <row r="53" spans="1:16" ht="15.75" customHeight="1" x14ac:dyDescent="0.3">
      <c r="A53" s="18"/>
      <c r="B53" s="18"/>
      <c r="C53" s="47"/>
      <c r="D53" s="18"/>
      <c r="E53" s="57"/>
      <c r="F53" s="58"/>
      <c r="G53" s="18"/>
      <c r="H53" s="57"/>
      <c r="I53" s="58"/>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0"/>
      <c r="D55" s="62"/>
      <c r="E55" s="58"/>
      <c r="F55" s="18"/>
      <c r="G55" s="60"/>
      <c r="H55" s="98"/>
      <c r="I55" s="58"/>
      <c r="J55" s="58"/>
      <c r="K55" s="18"/>
      <c r="L55" s="60"/>
      <c r="M55" s="99"/>
      <c r="N55" s="58"/>
      <c r="O55" s="58"/>
      <c r="P55" s="18"/>
    </row>
    <row r="56" spans="1:16" ht="15.75" customHeight="1" x14ac:dyDescent="0.25">
      <c r="A56" s="18"/>
      <c r="B56" s="18"/>
      <c r="C56" s="58"/>
      <c r="D56" s="58"/>
      <c r="E56" s="58"/>
      <c r="F56" s="18"/>
      <c r="G56" s="58"/>
      <c r="H56" s="58"/>
      <c r="I56" s="58"/>
      <c r="J56" s="58"/>
      <c r="K56" s="18"/>
      <c r="L56" s="58"/>
      <c r="M56" s="58"/>
      <c r="N56" s="58"/>
      <c r="O56" s="58"/>
      <c r="P56" s="18"/>
    </row>
    <row r="57" spans="1:16" ht="15.75" customHeight="1" x14ac:dyDescent="0.25">
      <c r="A57" s="18"/>
      <c r="B57" s="18"/>
      <c r="C57" s="58"/>
      <c r="D57" s="58"/>
      <c r="E57" s="58"/>
      <c r="F57" s="18"/>
      <c r="G57" s="58"/>
      <c r="H57" s="58"/>
      <c r="I57" s="58"/>
      <c r="J57" s="58"/>
      <c r="K57" s="18"/>
      <c r="L57" s="58"/>
      <c r="M57" s="58"/>
      <c r="N57" s="58"/>
      <c r="O57" s="58"/>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6"/>
      <c r="D59" s="58"/>
      <c r="E59" s="97"/>
      <c r="F59" s="58"/>
      <c r="G59" s="58"/>
      <c r="H59" s="58"/>
      <c r="I59" s="58"/>
      <c r="J59" s="58"/>
      <c r="K59" s="58"/>
      <c r="L59" s="58"/>
      <c r="M59" s="58"/>
      <c r="N59" s="58"/>
      <c r="O59" s="58"/>
      <c r="P59" s="18"/>
    </row>
    <row r="60" spans="1:16" ht="15.75" customHeight="1" x14ac:dyDescent="0.25">
      <c r="A60" s="18"/>
      <c r="B60" s="18"/>
      <c r="C60" s="58"/>
      <c r="D60" s="58"/>
      <c r="E60" s="58"/>
      <c r="F60" s="58"/>
      <c r="G60" s="58"/>
      <c r="H60" s="58"/>
      <c r="I60" s="58"/>
      <c r="J60" s="58"/>
      <c r="K60" s="58"/>
      <c r="L60" s="58"/>
      <c r="M60" s="58"/>
      <c r="N60" s="58"/>
      <c r="O60" s="58"/>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0"/>
      <c r="D62" s="58"/>
      <c r="E62" s="100"/>
      <c r="F62" s="58"/>
      <c r="G62" s="58"/>
      <c r="H62" s="58"/>
      <c r="I62" s="18"/>
      <c r="J62" s="60"/>
      <c r="K62" s="58"/>
      <c r="L62" s="102"/>
      <c r="M62" s="58"/>
      <c r="N62" s="58"/>
      <c r="O62" s="58"/>
      <c r="P62" s="18"/>
    </row>
    <row r="63" spans="1:16" ht="15.75" customHeight="1" x14ac:dyDescent="0.25">
      <c r="A63" s="18"/>
      <c r="B63" s="18"/>
      <c r="C63" s="58"/>
      <c r="D63" s="58"/>
      <c r="E63" s="58"/>
      <c r="F63" s="58"/>
      <c r="G63" s="58"/>
      <c r="H63" s="58"/>
      <c r="I63" s="18"/>
      <c r="J63" s="58"/>
      <c r="K63" s="58"/>
      <c r="L63" s="58"/>
      <c r="M63" s="58"/>
      <c r="N63" s="58"/>
      <c r="O63" s="58"/>
      <c r="P63" s="18"/>
    </row>
    <row r="64" spans="1:16" ht="15.75" customHeight="1" x14ac:dyDescent="0.25">
      <c r="A64" s="18"/>
      <c r="B64" s="18"/>
      <c r="C64" s="58"/>
      <c r="D64" s="58"/>
      <c r="E64" s="58"/>
      <c r="F64" s="58"/>
      <c r="G64" s="58"/>
      <c r="H64" s="58"/>
      <c r="I64" s="18"/>
      <c r="J64" s="58"/>
      <c r="K64" s="58"/>
      <c r="L64" s="58"/>
      <c r="M64" s="58"/>
      <c r="N64" s="58"/>
      <c r="O64" s="58"/>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3"/>
      <c r="C67" s="58"/>
      <c r="D67" s="58"/>
      <c r="E67" s="58"/>
      <c r="F67" s="58"/>
      <c r="G67" s="58"/>
      <c r="H67" s="58"/>
      <c r="I67" s="58"/>
      <c r="J67" s="58"/>
      <c r="K67" s="58"/>
      <c r="L67" s="58"/>
      <c r="M67" s="58"/>
      <c r="N67" s="58"/>
      <c r="O67" s="58"/>
      <c r="P67" s="58"/>
    </row>
    <row r="68" spans="1:16" ht="27" customHeight="1" x14ac:dyDescent="0.4">
      <c r="A68" s="18"/>
      <c r="B68" s="63"/>
      <c r="C68" s="58"/>
      <c r="D68" s="58"/>
      <c r="E68" s="58"/>
      <c r="F68" s="58"/>
      <c r="G68" s="58"/>
      <c r="H68" s="58"/>
      <c r="I68" s="58"/>
      <c r="J68" s="58"/>
      <c r="K68" s="58"/>
      <c r="L68" s="58"/>
      <c r="M68" s="58"/>
      <c r="N68" s="58"/>
      <c r="O68" s="58"/>
      <c r="P68" s="58"/>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0"/>
      <c r="F71" s="58"/>
      <c r="G71" s="18"/>
      <c r="H71" s="60"/>
      <c r="I71" s="58"/>
      <c r="J71" s="18"/>
      <c r="K71" s="18"/>
      <c r="L71" s="18"/>
      <c r="M71" s="18"/>
      <c r="N71" s="18"/>
      <c r="O71" s="18"/>
      <c r="P71" s="18"/>
    </row>
    <row r="72" spans="1:16" ht="15.75" customHeight="1" x14ac:dyDescent="0.3">
      <c r="A72" s="18"/>
      <c r="B72" s="18"/>
      <c r="C72" s="46"/>
      <c r="D72" s="18"/>
      <c r="E72" s="60"/>
      <c r="F72" s="58"/>
      <c r="G72" s="18"/>
      <c r="H72" s="60"/>
      <c r="I72" s="58"/>
      <c r="J72" s="18"/>
      <c r="K72" s="18"/>
      <c r="L72" s="18"/>
      <c r="M72" s="18"/>
      <c r="N72" s="18"/>
      <c r="O72" s="18"/>
      <c r="P72" s="18"/>
    </row>
    <row r="73" spans="1:16" ht="15.75" customHeight="1" x14ac:dyDescent="0.3">
      <c r="A73" s="18"/>
      <c r="B73" s="18"/>
      <c r="C73" s="47"/>
      <c r="D73" s="18"/>
      <c r="E73" s="57"/>
      <c r="F73" s="58"/>
      <c r="G73" s="18"/>
      <c r="H73" s="57"/>
      <c r="I73" s="58"/>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0"/>
      <c r="D75" s="101"/>
      <c r="E75" s="58"/>
      <c r="F75" s="18"/>
      <c r="G75" s="60"/>
      <c r="H75" s="98"/>
      <c r="I75" s="58"/>
      <c r="J75" s="58"/>
      <c r="K75" s="18"/>
      <c r="L75" s="60"/>
      <c r="M75" s="99"/>
      <c r="N75" s="58"/>
      <c r="O75" s="58"/>
      <c r="P75" s="18"/>
    </row>
    <row r="76" spans="1:16" ht="15.75" customHeight="1" x14ac:dyDescent="0.25">
      <c r="A76" s="18"/>
      <c r="B76" s="18"/>
      <c r="C76" s="58"/>
      <c r="D76" s="58"/>
      <c r="E76" s="58"/>
      <c r="F76" s="18"/>
      <c r="G76" s="58"/>
      <c r="H76" s="58"/>
      <c r="I76" s="58"/>
      <c r="J76" s="58"/>
      <c r="K76" s="18"/>
      <c r="L76" s="58"/>
      <c r="M76" s="58"/>
      <c r="N76" s="58"/>
      <c r="O76" s="58"/>
      <c r="P76" s="18"/>
    </row>
    <row r="77" spans="1:16" ht="15.75" customHeight="1" x14ac:dyDescent="0.25">
      <c r="A77" s="18"/>
      <c r="B77" s="18"/>
      <c r="C77" s="58"/>
      <c r="D77" s="58"/>
      <c r="E77" s="58"/>
      <c r="F77" s="18"/>
      <c r="G77" s="58"/>
      <c r="H77" s="58"/>
      <c r="I77" s="58"/>
      <c r="J77" s="58"/>
      <c r="K77" s="18"/>
      <c r="L77" s="58"/>
      <c r="M77" s="58"/>
      <c r="N77" s="58"/>
      <c r="O77" s="58"/>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6"/>
      <c r="D79" s="58"/>
      <c r="E79" s="97"/>
      <c r="F79" s="58"/>
      <c r="G79" s="58"/>
      <c r="H79" s="58"/>
      <c r="I79" s="58"/>
      <c r="J79" s="58"/>
      <c r="K79" s="58"/>
      <c r="L79" s="58"/>
      <c r="M79" s="58"/>
      <c r="N79" s="58"/>
      <c r="O79" s="58"/>
      <c r="P79" s="18"/>
    </row>
    <row r="80" spans="1:16" ht="15.75" customHeight="1" x14ac:dyDescent="0.25">
      <c r="A80" s="18"/>
      <c r="B80" s="18"/>
      <c r="C80" s="58"/>
      <c r="D80" s="58"/>
      <c r="E80" s="58"/>
      <c r="F80" s="58"/>
      <c r="G80" s="58"/>
      <c r="H80" s="58"/>
      <c r="I80" s="58"/>
      <c r="J80" s="58"/>
      <c r="K80" s="58"/>
      <c r="L80" s="58"/>
      <c r="M80" s="58"/>
      <c r="N80" s="58"/>
      <c r="O80" s="58"/>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0"/>
      <c r="D82" s="58"/>
      <c r="E82" s="100"/>
      <c r="F82" s="58"/>
      <c r="G82" s="58"/>
      <c r="H82" s="58"/>
      <c r="I82" s="18"/>
      <c r="J82" s="60"/>
      <c r="K82" s="58"/>
      <c r="L82" s="94"/>
      <c r="M82" s="58"/>
      <c r="N82" s="58"/>
      <c r="O82" s="58"/>
      <c r="P82" s="18"/>
    </row>
    <row r="83" spans="1:16" ht="15.75" customHeight="1" x14ac:dyDescent="0.25">
      <c r="A83" s="18"/>
      <c r="B83" s="18"/>
      <c r="C83" s="58"/>
      <c r="D83" s="58"/>
      <c r="E83" s="58"/>
      <c r="F83" s="58"/>
      <c r="G83" s="58"/>
      <c r="H83" s="58"/>
      <c r="I83" s="18"/>
      <c r="J83" s="58"/>
      <c r="K83" s="58"/>
      <c r="L83" s="58"/>
      <c r="M83" s="58"/>
      <c r="N83" s="58"/>
      <c r="O83" s="58"/>
      <c r="P83" s="18"/>
    </row>
    <row r="84" spans="1:16" ht="15.75" customHeight="1" x14ac:dyDescent="0.25">
      <c r="A84" s="18"/>
      <c r="B84" s="18"/>
      <c r="C84" s="58"/>
      <c r="D84" s="58"/>
      <c r="E84" s="58"/>
      <c r="F84" s="58"/>
      <c r="G84" s="58"/>
      <c r="H84" s="58"/>
      <c r="I84" s="18"/>
      <c r="J84" s="58"/>
      <c r="K84" s="58"/>
      <c r="L84" s="58"/>
      <c r="M84" s="58"/>
      <c r="N84" s="58"/>
      <c r="O84" s="58"/>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3"/>
      <c r="C87" s="58"/>
      <c r="D87" s="58"/>
      <c r="E87" s="58"/>
      <c r="F87" s="58"/>
      <c r="G87" s="58"/>
      <c r="H87" s="58"/>
      <c r="I87" s="58"/>
      <c r="J87" s="58"/>
      <c r="K87" s="58"/>
      <c r="L87" s="58"/>
      <c r="M87" s="58"/>
      <c r="N87" s="58"/>
      <c r="O87" s="58"/>
      <c r="P87" s="58"/>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0"/>
      <c r="F90" s="58"/>
      <c r="G90" s="18"/>
      <c r="H90" s="60"/>
      <c r="I90" s="58"/>
      <c r="J90" s="18"/>
      <c r="K90" s="18"/>
      <c r="L90" s="18"/>
      <c r="M90" s="18"/>
      <c r="N90" s="18"/>
      <c r="O90" s="18"/>
      <c r="P90" s="18"/>
    </row>
    <row r="91" spans="1:16" ht="15.75" customHeight="1" x14ac:dyDescent="0.3">
      <c r="A91" s="18"/>
      <c r="B91" s="18"/>
      <c r="C91" s="47"/>
      <c r="D91" s="18"/>
      <c r="E91" s="57"/>
      <c r="F91" s="58"/>
      <c r="G91" s="18"/>
      <c r="H91" s="57"/>
      <c r="I91" s="58"/>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0"/>
      <c r="D93" s="98"/>
      <c r="E93" s="58"/>
      <c r="F93" s="18"/>
      <c r="G93" s="60"/>
      <c r="H93" s="98"/>
      <c r="I93" s="58"/>
      <c r="J93" s="58"/>
      <c r="K93" s="18"/>
      <c r="L93" s="60"/>
      <c r="M93" s="95"/>
      <c r="N93" s="58"/>
      <c r="O93" s="58"/>
      <c r="P93" s="18"/>
    </row>
    <row r="94" spans="1:16" ht="15.75" customHeight="1" x14ac:dyDescent="0.25">
      <c r="A94" s="18"/>
      <c r="B94" s="18"/>
      <c r="C94" s="58"/>
      <c r="D94" s="58"/>
      <c r="E94" s="58"/>
      <c r="F94" s="18"/>
      <c r="G94" s="58"/>
      <c r="H94" s="58"/>
      <c r="I94" s="58"/>
      <c r="J94" s="58"/>
      <c r="K94" s="18"/>
      <c r="L94" s="58"/>
      <c r="M94" s="58"/>
      <c r="N94" s="58"/>
      <c r="O94" s="58"/>
      <c r="P94" s="18"/>
    </row>
    <row r="95" spans="1:16" ht="15.75" customHeight="1" x14ac:dyDescent="0.25">
      <c r="A95" s="18"/>
      <c r="B95" s="18"/>
      <c r="C95" s="58"/>
      <c r="D95" s="58"/>
      <c r="E95" s="58"/>
      <c r="F95" s="18"/>
      <c r="G95" s="58"/>
      <c r="H95" s="58"/>
      <c r="I95" s="58"/>
      <c r="J95" s="58"/>
      <c r="K95" s="18"/>
      <c r="L95" s="58"/>
      <c r="M95" s="58"/>
      <c r="N95" s="58"/>
      <c r="O95" s="58"/>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6"/>
      <c r="D97" s="58"/>
      <c r="E97" s="97"/>
      <c r="F97" s="58"/>
      <c r="G97" s="58"/>
      <c r="H97" s="58"/>
      <c r="I97" s="58"/>
      <c r="J97" s="58"/>
      <c r="K97" s="58"/>
      <c r="L97" s="58"/>
      <c r="M97" s="58"/>
      <c r="N97" s="58"/>
      <c r="O97" s="58"/>
      <c r="P97" s="18"/>
    </row>
    <row r="98" spans="1:16" ht="15.75" customHeight="1" x14ac:dyDescent="0.25">
      <c r="A98" s="18"/>
      <c r="B98" s="18"/>
      <c r="C98" s="58"/>
      <c r="D98" s="58"/>
      <c r="E98" s="58"/>
      <c r="F98" s="58"/>
      <c r="G98" s="58"/>
      <c r="H98" s="58"/>
      <c r="I98" s="58"/>
      <c r="J98" s="58"/>
      <c r="K98" s="58"/>
      <c r="L98" s="58"/>
      <c r="M98" s="58"/>
      <c r="N98" s="58"/>
      <c r="O98" s="58"/>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0"/>
      <c r="D100" s="58"/>
      <c r="E100" s="93"/>
      <c r="F100" s="58"/>
      <c r="G100" s="58"/>
      <c r="H100" s="58"/>
      <c r="I100" s="18"/>
      <c r="J100" s="60"/>
      <c r="K100" s="58"/>
      <c r="L100" s="94"/>
      <c r="M100" s="58"/>
      <c r="N100" s="58"/>
      <c r="O100" s="58"/>
      <c r="P100" s="18"/>
    </row>
    <row r="101" spans="1:16" ht="15.75" customHeight="1" x14ac:dyDescent="0.25">
      <c r="A101" s="18"/>
      <c r="B101" s="18"/>
      <c r="C101" s="58"/>
      <c r="D101" s="58"/>
      <c r="E101" s="58"/>
      <c r="F101" s="58"/>
      <c r="G101" s="58"/>
      <c r="H101" s="58"/>
      <c r="I101" s="18"/>
      <c r="J101" s="58"/>
      <c r="K101" s="58"/>
      <c r="L101" s="58"/>
      <c r="M101" s="58"/>
      <c r="N101" s="58"/>
      <c r="O101" s="58"/>
      <c r="P101" s="18"/>
    </row>
    <row r="102" spans="1:16" ht="15.75" customHeight="1" x14ac:dyDescent="0.25">
      <c r="A102" s="18"/>
      <c r="B102" s="18"/>
      <c r="C102" s="58"/>
      <c r="D102" s="58"/>
      <c r="E102" s="58"/>
      <c r="F102" s="58"/>
      <c r="G102" s="58"/>
      <c r="H102" s="58"/>
      <c r="I102" s="18"/>
      <c r="J102" s="58"/>
      <c r="K102" s="58"/>
      <c r="L102" s="58"/>
      <c r="M102" s="58"/>
      <c r="N102" s="58"/>
      <c r="O102" s="58"/>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3"/>
      <c r="C105" s="58"/>
      <c r="D105" s="58"/>
      <c r="E105" s="58"/>
      <c r="F105" s="58"/>
      <c r="G105" s="58"/>
      <c r="H105" s="58"/>
      <c r="I105" s="58"/>
      <c r="J105" s="58"/>
      <c r="K105" s="58"/>
      <c r="L105" s="58"/>
      <c r="M105" s="58"/>
      <c r="N105" s="58"/>
      <c r="O105" s="58"/>
      <c r="P105" s="58"/>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HU'!$B$6:$B$20</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JHON KEVIN CASTILLO QUISHPE</cp:lastModifiedBy>
  <cp:lastPrinted>2025-11-26T17:09:08Z</cp:lastPrinted>
  <dcterms:created xsi:type="dcterms:W3CDTF">2019-10-21T15:37:14Z</dcterms:created>
  <dcterms:modified xsi:type="dcterms:W3CDTF">2026-01-05T16:42:20Z</dcterms:modified>
</cp:coreProperties>
</file>