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59399\Downloads\"/>
    </mc:Choice>
  </mc:AlternateContent>
  <xr:revisionPtr revIDLastSave="0" documentId="8_{DFDD73A9-57C6-4483-8463-9CE661E03001}" xr6:coauthVersionLast="47" xr6:coauthVersionMax="47" xr10:uidLastSave="{00000000-0000-0000-0000-000000000000}"/>
  <workbookProtection lockStructure="1"/>
  <bookViews>
    <workbookView xWindow="-120" yWindow="-120" windowWidth="20730" windowHeight="1116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D57" i="5" s="1" a="1"/>
  <c r="D57" i="5" s="1"/>
  <c r="I51" i="2" a="1"/>
  <c r="I51" i="2" s="1"/>
  <c r="D51" i="5" s="1" a="1"/>
  <c r="D51" i="5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9" i="5" a="1"/>
  <c r="D59" i="5" s="1"/>
  <c r="D55" i="5" a="1"/>
  <c r="D55" i="5" s="1"/>
  <c r="D54" i="5" a="1"/>
  <c r="D54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101" i="5"/>
  <c r="G34" i="5"/>
  <c r="G96" i="5"/>
  <c r="G81" i="5"/>
  <c r="G36" i="5"/>
  <c r="G26" i="5"/>
  <c r="G5" i="5"/>
  <c r="G20" i="5"/>
  <c r="G42" i="5"/>
  <c r="G82" i="5"/>
  <c r="G95" i="5"/>
  <c r="G2" i="5"/>
  <c r="G23" i="5"/>
  <c r="G94" i="5"/>
  <c r="G99" i="5"/>
  <c r="G92" i="5"/>
  <c r="G64" i="5"/>
  <c r="G79" i="5"/>
  <c r="G38" i="5"/>
  <c r="G9" i="5"/>
  <c r="G93" i="5"/>
  <c r="G17" i="5"/>
  <c r="G10" i="5"/>
  <c r="G88" i="5"/>
  <c r="G32" i="5"/>
  <c r="G76" i="5"/>
  <c r="G40" i="5"/>
  <c r="G18" i="5"/>
  <c r="G56" i="5"/>
  <c r="G41" i="5"/>
  <c r="G16" i="5"/>
  <c r="G50" i="5"/>
  <c r="G11" i="5"/>
  <c r="G12" i="5"/>
  <c r="G49" i="5"/>
  <c r="G3" i="5"/>
  <c r="G90" i="5"/>
  <c r="G48" i="5"/>
  <c r="G100" i="5"/>
  <c r="G55" i="5"/>
  <c r="G78" i="5"/>
  <c r="G15" i="5"/>
  <c r="G13" i="5"/>
  <c r="G21" i="5"/>
  <c r="G28" i="5"/>
  <c r="G33" i="5"/>
  <c r="G19" i="5"/>
  <c r="G62" i="5"/>
  <c r="G39" i="5"/>
  <c r="G73" i="5"/>
  <c r="G74" i="5"/>
  <c r="G44" i="5"/>
  <c r="G83" i="5"/>
  <c r="G80" i="5"/>
  <c r="G43" i="5"/>
  <c r="G70" i="5"/>
  <c r="G66" i="5"/>
  <c r="G98" i="5"/>
  <c r="G59" i="5"/>
  <c r="G30" i="5"/>
  <c r="G54" i="5"/>
  <c r="G31" i="5"/>
  <c r="G86" i="5"/>
  <c r="G91" i="5"/>
  <c r="G51" i="5"/>
  <c r="G53" i="5"/>
  <c r="G75" i="5"/>
  <c r="G69" i="5"/>
  <c r="G89" i="5"/>
  <c r="G47" i="5"/>
  <c r="G68" i="5"/>
  <c r="G85" i="5"/>
  <c r="G84" i="5"/>
  <c r="G35" i="5"/>
  <c r="G52" i="5"/>
  <c r="G6" i="5"/>
  <c r="G77" i="5"/>
  <c r="G8" i="5"/>
  <c r="G4" i="5"/>
  <c r="G27" i="5"/>
  <c r="G25" i="5"/>
  <c r="G67" i="5"/>
  <c r="G45" i="5"/>
  <c r="G97" i="5"/>
  <c r="G46" i="5"/>
  <c r="G7" i="5"/>
  <c r="G29" i="5"/>
  <c r="G22" i="5"/>
  <c r="G58" i="5"/>
  <c r="G71" i="5"/>
  <c r="G24" i="5"/>
  <c r="G61" i="5"/>
  <c r="G14" i="5"/>
  <c r="G87" i="5"/>
  <c r="G72" i="5"/>
  <c r="G37" i="5"/>
  <c r="G65" i="5"/>
  <c r="G60" i="5"/>
  <c r="G63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4" i="5"/>
  <c r="E41" i="5"/>
  <c r="E95" i="5"/>
  <c r="N13" i="5"/>
  <c r="N18" i="5"/>
  <c r="M23" i="5"/>
  <c r="E82" i="5"/>
  <c r="M93" i="5"/>
  <c r="N82" i="5"/>
  <c r="M86" i="5"/>
  <c r="E67" i="5"/>
  <c r="M68" i="5"/>
  <c r="N57" i="5"/>
  <c r="N64" i="5"/>
  <c r="M39" i="5"/>
  <c r="N7" i="5"/>
  <c r="M72" i="5"/>
  <c r="E29" i="5"/>
  <c r="M70" i="5"/>
  <c r="M90" i="5"/>
  <c r="E46" i="5"/>
  <c r="M56" i="5"/>
  <c r="M2" i="5"/>
  <c r="N84" i="5"/>
  <c r="M62" i="5"/>
  <c r="E14" i="5"/>
  <c r="N83" i="5"/>
  <c r="E84" i="5"/>
  <c r="E18" i="5"/>
  <c r="M31" i="5"/>
  <c r="M27" i="5"/>
  <c r="E64" i="5"/>
  <c r="E15" i="5"/>
  <c r="M94" i="5"/>
  <c r="N55" i="5"/>
  <c r="E33" i="5"/>
  <c r="E63" i="5"/>
  <c r="E70" i="5"/>
  <c r="M53" i="5"/>
  <c r="N92" i="5"/>
  <c r="E68" i="5"/>
  <c r="N10" i="5"/>
  <c r="N50" i="5"/>
  <c r="M7" i="5"/>
  <c r="E98" i="5"/>
  <c r="M40" i="5"/>
  <c r="N34" i="5"/>
  <c r="M73" i="5"/>
  <c r="E92" i="5"/>
  <c r="E87" i="5"/>
  <c r="N74" i="5"/>
  <c r="N78" i="5"/>
  <c r="N15" i="5"/>
  <c r="M50" i="5"/>
  <c r="E4" i="5"/>
  <c r="N35" i="5"/>
  <c r="M44" i="5"/>
  <c r="E20" i="5"/>
  <c r="E90" i="5"/>
  <c r="N32" i="5"/>
  <c r="E11" i="5"/>
  <c r="M6" i="5"/>
  <c r="M52" i="5"/>
  <c r="M58" i="5"/>
  <c r="M13" i="5"/>
  <c r="E35" i="5"/>
  <c r="E94" i="5"/>
  <c r="E83" i="5"/>
  <c r="M18" i="5"/>
  <c r="N89" i="5"/>
  <c r="N33" i="5"/>
  <c r="M43" i="5"/>
  <c r="N38" i="5"/>
  <c r="N49" i="5"/>
  <c r="N24" i="5"/>
  <c r="N87" i="5"/>
  <c r="M67" i="5"/>
  <c r="M101" i="5"/>
  <c r="E51" i="5"/>
  <c r="N41" i="5"/>
  <c r="N11" i="5"/>
  <c r="N62" i="5"/>
  <c r="E61" i="5"/>
  <c r="N101" i="5"/>
  <c r="N46" i="5"/>
  <c r="N36" i="5"/>
  <c r="E47" i="5"/>
  <c r="E30" i="5"/>
  <c r="E40" i="5"/>
  <c r="E36" i="5"/>
  <c r="N58" i="5"/>
  <c r="N28" i="5"/>
  <c r="N42" i="5"/>
  <c r="E26" i="5"/>
  <c r="N98" i="5"/>
  <c r="M34" i="5"/>
  <c r="M14" i="5"/>
  <c r="E3" i="5"/>
  <c r="M81" i="5"/>
  <c r="E99" i="5"/>
  <c r="E53" i="5"/>
  <c r="N79" i="5"/>
  <c r="M45" i="5"/>
  <c r="N61" i="5"/>
  <c r="M55" i="5"/>
  <c r="E96" i="5"/>
  <c r="N97" i="5"/>
  <c r="N23" i="5"/>
  <c r="N19" i="5"/>
  <c r="E54" i="5"/>
  <c r="N40" i="5"/>
  <c r="M37" i="5"/>
  <c r="M66" i="5"/>
  <c r="E50" i="5"/>
  <c r="E34" i="5"/>
  <c r="N54" i="5"/>
  <c r="N65" i="5"/>
  <c r="M3" i="5"/>
  <c r="E77" i="5"/>
  <c r="M96" i="5"/>
  <c r="E78" i="5"/>
  <c r="E56" i="5"/>
  <c r="M61" i="5"/>
  <c r="N69" i="5"/>
  <c r="N22" i="5"/>
  <c r="E48" i="5"/>
  <c r="E59" i="5"/>
  <c r="E43" i="5"/>
  <c r="N66" i="5"/>
  <c r="E91" i="5"/>
  <c r="M59" i="5"/>
  <c r="N43" i="5"/>
  <c r="E27" i="5"/>
  <c r="E21" i="5"/>
  <c r="M64" i="5"/>
  <c r="M99" i="5"/>
  <c r="N88" i="5"/>
  <c r="N47" i="5"/>
  <c r="E45" i="5"/>
  <c r="N39" i="5"/>
  <c r="N20" i="5"/>
  <c r="E10" i="5"/>
  <c r="E2" i="5"/>
  <c r="E12" i="5"/>
  <c r="M91" i="5"/>
  <c r="N16" i="5"/>
  <c r="E93" i="5"/>
  <c r="M89" i="5"/>
  <c r="M42" i="5"/>
  <c r="N12" i="5"/>
  <c r="E100" i="5"/>
  <c r="E79" i="5"/>
  <c r="N5" i="5"/>
  <c r="M85" i="5"/>
  <c r="M28" i="5"/>
  <c r="M48" i="5"/>
  <c r="M65" i="5"/>
  <c r="M97" i="5"/>
  <c r="E42" i="5"/>
  <c r="E62" i="5"/>
  <c r="M79" i="5"/>
  <c r="N91" i="5"/>
  <c r="E75" i="5"/>
  <c r="M16" i="5"/>
  <c r="E39" i="5"/>
  <c r="M78" i="5"/>
  <c r="N72" i="5"/>
  <c r="M19" i="5"/>
  <c r="M98" i="5"/>
  <c r="M69" i="5"/>
  <c r="N75" i="5"/>
  <c r="N96" i="5"/>
  <c r="N63" i="5"/>
  <c r="N45" i="5"/>
  <c r="M20" i="5"/>
  <c r="M100" i="5"/>
  <c r="M36" i="5"/>
  <c r="M47" i="5"/>
  <c r="M11" i="5"/>
  <c r="M84" i="5"/>
  <c r="M35" i="5"/>
  <c r="E69" i="5"/>
  <c r="E88" i="5"/>
  <c r="E72" i="5"/>
  <c r="N71" i="5"/>
  <c r="E17" i="5"/>
  <c r="N31" i="5"/>
  <c r="M71" i="5"/>
  <c r="E32" i="5"/>
  <c r="E23" i="5"/>
  <c r="M41" i="5"/>
  <c r="N56" i="5"/>
  <c r="M10" i="5"/>
  <c r="N59" i="5"/>
  <c r="M83" i="5"/>
  <c r="E57" i="5"/>
  <c r="N70" i="5"/>
  <c r="E7" i="5"/>
  <c r="N99" i="5"/>
  <c r="E13" i="5"/>
  <c r="E31" i="5"/>
  <c r="E58" i="5"/>
  <c r="M12" i="5"/>
  <c r="M57" i="5"/>
  <c r="E9" i="5"/>
  <c r="M32" i="5"/>
  <c r="N81" i="5"/>
  <c r="N9" i="5"/>
  <c r="M8" i="5"/>
  <c r="E101" i="5"/>
  <c r="N85" i="5"/>
  <c r="M76" i="5"/>
  <c r="N67" i="5"/>
  <c r="E37" i="5"/>
  <c r="M38" i="5"/>
  <c r="N14" i="5"/>
  <c r="M63" i="5"/>
  <c r="N44" i="5"/>
  <c r="N30" i="5"/>
  <c r="N4" i="5"/>
  <c r="E22" i="5"/>
  <c r="N77" i="5"/>
  <c r="N93" i="5"/>
  <c r="M30" i="5"/>
  <c r="M9" i="5"/>
  <c r="E24" i="5"/>
  <c r="N76" i="5"/>
  <c r="M51" i="5"/>
  <c r="N52" i="5"/>
  <c r="E8" i="5"/>
  <c r="M21" i="5"/>
  <c r="M95" i="5"/>
  <c r="E55" i="5"/>
  <c r="E71" i="5"/>
  <c r="M17" i="5"/>
  <c r="E28" i="5"/>
  <c r="M49" i="5"/>
  <c r="M87" i="5"/>
  <c r="N86" i="5"/>
  <c r="N60" i="5"/>
  <c r="M33" i="5"/>
  <c r="E97" i="5"/>
  <c r="M4" i="5"/>
  <c r="M26" i="5"/>
  <c r="N48" i="5"/>
  <c r="M15" i="5"/>
  <c r="M74" i="5"/>
  <c r="N17" i="5"/>
  <c r="M25" i="5"/>
  <c r="N27" i="5"/>
  <c r="M22" i="5"/>
  <c r="M46" i="5"/>
  <c r="E44" i="5"/>
  <c r="E65" i="5"/>
  <c r="M29" i="5"/>
  <c r="E81" i="5"/>
  <c r="E49" i="5"/>
  <c r="N95" i="5"/>
  <c r="N51" i="5"/>
  <c r="N80" i="5"/>
  <c r="N29" i="5"/>
  <c r="E66" i="5"/>
  <c r="M54" i="5"/>
  <c r="E80" i="5"/>
  <c r="E85" i="5"/>
  <c r="N68" i="5"/>
  <c r="M82" i="5"/>
  <c r="E52" i="5"/>
  <c r="M24" i="5"/>
  <c r="E86" i="5"/>
  <c r="M88" i="5"/>
  <c r="M77" i="5"/>
  <c r="E38" i="5"/>
  <c r="N2" i="5"/>
  <c r="E74" i="5"/>
  <c r="E73" i="5"/>
  <c r="N6" i="5"/>
  <c r="N100" i="5"/>
  <c r="M75" i="5"/>
  <c r="N3" i="5"/>
  <c r="N25" i="5"/>
  <c r="E76" i="5"/>
  <c r="N73" i="5"/>
  <c r="N53" i="5"/>
  <c r="E89" i="5"/>
  <c r="E19" i="5"/>
  <c r="E25" i="5"/>
  <c r="N90" i="5"/>
  <c r="N26" i="5"/>
  <c r="M92" i="5"/>
  <c r="E60" i="5"/>
  <c r="E16" i="5"/>
  <c r="E5" i="5"/>
  <c r="M80" i="5"/>
  <c r="N21" i="5"/>
  <c r="N8" i="5"/>
  <c r="E6" i="5"/>
  <c r="M60" i="5"/>
  <c r="N37" i="5"/>
  <c r="M5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0" i="5"/>
  <c r="J64" i="5"/>
  <c r="L48" i="5"/>
  <c r="J39" i="5"/>
  <c r="L11" i="5"/>
  <c r="J73" i="5"/>
  <c r="L77" i="5"/>
  <c r="J42" i="5"/>
  <c r="L73" i="5"/>
  <c r="L9" i="5"/>
  <c r="J97" i="5"/>
  <c r="J29" i="5"/>
  <c r="L94" i="5"/>
  <c r="J13" i="5"/>
  <c r="J52" i="5"/>
  <c r="J55" i="5"/>
  <c r="J44" i="5"/>
  <c r="L23" i="5"/>
  <c r="J28" i="5"/>
  <c r="L70" i="5"/>
  <c r="J68" i="5"/>
  <c r="L32" i="5"/>
  <c r="L75" i="5"/>
  <c r="L53" i="5"/>
  <c r="L89" i="5"/>
  <c r="J77" i="5"/>
  <c r="L17" i="5"/>
  <c r="L12" i="5"/>
  <c r="J27" i="5"/>
  <c r="J63" i="5"/>
  <c r="J15" i="5"/>
  <c r="L101" i="5"/>
  <c r="L64" i="5"/>
  <c r="J96" i="5"/>
  <c r="J57" i="5"/>
  <c r="L65" i="5"/>
  <c r="L28" i="5"/>
  <c r="J82" i="5"/>
  <c r="J58" i="5"/>
  <c r="J21" i="5"/>
  <c r="J78" i="5"/>
  <c r="J65" i="5"/>
  <c r="J11" i="5"/>
  <c r="L29" i="5"/>
  <c r="J25" i="5"/>
  <c r="J62" i="5"/>
  <c r="L63" i="5"/>
  <c r="J101" i="5"/>
  <c r="J59" i="5"/>
  <c r="L69" i="5"/>
  <c r="J48" i="5"/>
  <c r="L2" i="5"/>
  <c r="J66" i="5"/>
  <c r="L91" i="5"/>
  <c r="L100" i="5"/>
  <c r="J12" i="5"/>
  <c r="J60" i="5"/>
  <c r="J69" i="5"/>
  <c r="J23" i="5"/>
  <c r="L36" i="5"/>
  <c r="L72" i="5"/>
  <c r="J100" i="5"/>
  <c r="L71" i="5"/>
  <c r="J46" i="5"/>
  <c r="J90" i="5"/>
  <c r="J99" i="5"/>
  <c r="L39" i="5"/>
  <c r="L10" i="5"/>
  <c r="L76" i="5"/>
  <c r="J49" i="5"/>
  <c r="L83" i="5"/>
  <c r="J22" i="5"/>
  <c r="L80" i="5"/>
  <c r="L40" i="5"/>
  <c r="L98" i="5"/>
  <c r="L61" i="5"/>
  <c r="L3" i="5"/>
  <c r="J4" i="5"/>
  <c r="L62" i="5"/>
  <c r="L38" i="5"/>
  <c r="L35" i="5"/>
  <c r="L20" i="5"/>
  <c r="L86" i="5"/>
  <c r="L87" i="5"/>
  <c r="L92" i="5"/>
  <c r="L90" i="5"/>
  <c r="L57" i="5"/>
  <c r="J72" i="5"/>
  <c r="L66" i="5"/>
  <c r="L93" i="5"/>
  <c r="J53" i="5"/>
  <c r="L21" i="5"/>
  <c r="J86" i="5"/>
  <c r="L74" i="5"/>
  <c r="J92" i="5"/>
  <c r="J85" i="5"/>
  <c r="J26" i="5"/>
  <c r="J2" i="5"/>
  <c r="J10" i="5"/>
  <c r="L18" i="5"/>
  <c r="J54" i="5"/>
  <c r="L16" i="5"/>
  <c r="L54" i="5"/>
  <c r="L47" i="5"/>
  <c r="J89" i="5"/>
  <c r="L68" i="5"/>
  <c r="L95" i="5"/>
  <c r="J76" i="5"/>
  <c r="L37" i="5"/>
  <c r="J20" i="5"/>
  <c r="L41" i="5"/>
  <c r="J83" i="5"/>
  <c r="J51" i="5"/>
  <c r="L7" i="5"/>
  <c r="L51" i="5"/>
  <c r="L52" i="5"/>
  <c r="L13" i="5"/>
  <c r="J81" i="5"/>
  <c r="J37" i="5"/>
  <c r="J36" i="5"/>
  <c r="J91" i="5"/>
  <c r="L84" i="5"/>
  <c r="L85" i="5"/>
  <c r="L4" i="5"/>
  <c r="J71" i="5"/>
  <c r="J88" i="5"/>
  <c r="L46" i="5"/>
  <c r="L55" i="5"/>
  <c r="J56" i="5"/>
  <c r="J19" i="5"/>
  <c r="J93" i="5"/>
  <c r="J80" i="5"/>
  <c r="L25" i="5"/>
  <c r="L8" i="5"/>
  <c r="J95" i="5"/>
  <c r="L82" i="5"/>
  <c r="J8" i="5"/>
  <c r="J43" i="5"/>
  <c r="J5" i="5"/>
  <c r="J7" i="5"/>
  <c r="J41" i="5"/>
  <c r="J31" i="5"/>
  <c r="J94" i="5"/>
  <c r="L24" i="5"/>
  <c r="J45" i="5"/>
  <c r="J79" i="5"/>
  <c r="J9" i="5"/>
  <c r="J35" i="5"/>
  <c r="J17" i="5"/>
  <c r="L78" i="5"/>
  <c r="J50" i="5"/>
  <c r="L27" i="5"/>
  <c r="J67" i="5"/>
  <c r="L67" i="5"/>
  <c r="L58" i="5"/>
  <c r="L42" i="5"/>
  <c r="L59" i="5"/>
  <c r="L30" i="5"/>
  <c r="J32" i="5"/>
  <c r="J84" i="5"/>
  <c r="J75" i="5"/>
  <c r="L79" i="5"/>
  <c r="L99" i="5"/>
  <c r="J61" i="5"/>
  <c r="L15" i="5"/>
  <c r="J33" i="5"/>
  <c r="J34" i="5"/>
  <c r="L96" i="5"/>
  <c r="L6" i="5"/>
  <c r="J14" i="5"/>
  <c r="L5" i="5"/>
  <c r="L50" i="5"/>
  <c r="L34" i="5"/>
  <c r="L88" i="5"/>
  <c r="L56" i="5"/>
  <c r="L45" i="5"/>
  <c r="J38" i="5"/>
  <c r="L14" i="5"/>
  <c r="J40" i="5"/>
  <c r="L81" i="5"/>
  <c r="J87" i="5"/>
  <c r="L26" i="5"/>
  <c r="L22" i="5"/>
  <c r="J47" i="5"/>
  <c r="L19" i="5"/>
  <c r="J74" i="5"/>
  <c r="J30" i="5"/>
  <c r="L43" i="5"/>
  <c r="J6" i="5"/>
  <c r="J3" i="5"/>
  <c r="L31" i="5"/>
  <c r="L97" i="5"/>
  <c r="J16" i="5"/>
  <c r="L60" i="5"/>
  <c r="L33" i="5"/>
  <c r="L49" i="5"/>
  <c r="J98" i="5"/>
  <c r="J24" i="5"/>
  <c r="L44" i="5"/>
  <c r="J18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60" i="5"/>
  <c r="K99" i="5"/>
  <c r="K55" i="5"/>
  <c r="K90" i="5"/>
  <c r="K87" i="5"/>
  <c r="K24" i="5"/>
  <c r="K3" i="5"/>
  <c r="K98" i="5"/>
  <c r="K8" i="5"/>
  <c r="K9" i="5"/>
  <c r="K94" i="5"/>
  <c r="K7" i="5"/>
  <c r="K75" i="5"/>
  <c r="K39" i="5"/>
  <c r="K31" i="5"/>
  <c r="K27" i="5"/>
  <c r="K57" i="5"/>
  <c r="K66" i="5"/>
  <c r="K82" i="5"/>
  <c r="K41" i="5"/>
  <c r="K10" i="5"/>
  <c r="K59" i="5"/>
  <c r="K15" i="5"/>
  <c r="K92" i="5"/>
  <c r="K93" i="5"/>
  <c r="K44" i="5"/>
  <c r="K67" i="5"/>
  <c r="K12" i="5"/>
  <c r="K96" i="5"/>
  <c r="K73" i="5"/>
  <c r="K71" i="5"/>
  <c r="K2" i="5"/>
  <c r="K50" i="5"/>
  <c r="K38" i="5"/>
  <c r="K63" i="5"/>
  <c r="K95" i="5"/>
  <c r="K65" i="5"/>
  <c r="K37" i="5"/>
  <c r="K101" i="5"/>
  <c r="K54" i="5"/>
  <c r="K52" i="5"/>
  <c r="K21" i="5"/>
  <c r="K70" i="5"/>
  <c r="K19" i="5"/>
  <c r="K68" i="5"/>
  <c r="K69" i="5"/>
  <c r="K83" i="5"/>
  <c r="K53" i="5"/>
  <c r="K62" i="5"/>
  <c r="K49" i="5"/>
  <c r="K6" i="5"/>
  <c r="K20" i="5"/>
  <c r="K86" i="5"/>
  <c r="K61" i="5"/>
  <c r="K40" i="5"/>
  <c r="K29" i="5"/>
  <c r="K43" i="5"/>
  <c r="K47" i="5"/>
  <c r="K33" i="5"/>
  <c r="K84" i="5"/>
  <c r="K32" i="5"/>
  <c r="K28" i="5"/>
  <c r="K5" i="5"/>
  <c r="K58" i="5"/>
  <c r="K100" i="5"/>
  <c r="K72" i="5"/>
  <c r="K89" i="5"/>
  <c r="K36" i="5"/>
  <c r="K35" i="5"/>
  <c r="K34" i="5"/>
  <c r="K76" i="5"/>
  <c r="K23" i="5"/>
  <c r="K46" i="5"/>
  <c r="K64" i="5"/>
  <c r="K56" i="5"/>
  <c r="K4" i="5"/>
  <c r="K91" i="5"/>
  <c r="K81" i="5"/>
  <c r="K18" i="5"/>
  <c r="K11" i="5"/>
  <c r="K25" i="5"/>
  <c r="K30" i="5"/>
  <c r="K26" i="5"/>
  <c r="K74" i="5"/>
  <c r="K78" i="5"/>
  <c r="K79" i="5"/>
  <c r="K22" i="5"/>
  <c r="K97" i="5"/>
  <c r="K88" i="5"/>
  <c r="K51" i="5"/>
  <c r="K48" i="5"/>
  <c r="K17" i="5"/>
  <c r="K77" i="5"/>
  <c r="K14" i="5"/>
  <c r="K13" i="5"/>
  <c r="K16" i="5"/>
  <c r="K80" i="5"/>
  <c r="K85" i="5"/>
  <c r="K42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1" i="5"/>
  <c r="I23" i="5"/>
  <c r="I14" i="5"/>
  <c r="I35" i="5"/>
  <c r="I47" i="5"/>
  <c r="I57" i="5"/>
  <c r="I44" i="5"/>
  <c r="I80" i="5"/>
  <c r="I89" i="5"/>
  <c r="I74" i="5"/>
  <c r="I90" i="5"/>
  <c r="I83" i="5"/>
  <c r="I6" i="5"/>
  <c r="I69" i="5"/>
  <c r="I73" i="5"/>
  <c r="I84" i="5"/>
  <c r="I98" i="5"/>
  <c r="I62" i="5"/>
  <c r="I81" i="5"/>
  <c r="I7" i="5"/>
  <c r="I64" i="5"/>
  <c r="I55" i="5"/>
  <c r="I93" i="5"/>
  <c r="I38" i="5"/>
  <c r="I28" i="5"/>
  <c r="I59" i="5"/>
  <c r="I12" i="5"/>
  <c r="I58" i="5"/>
  <c r="I33" i="5"/>
  <c r="I45" i="5"/>
  <c r="I4" i="5"/>
  <c r="I56" i="5"/>
  <c r="I92" i="5"/>
  <c r="I87" i="5"/>
  <c r="I42" i="5"/>
  <c r="I8" i="5"/>
  <c r="I91" i="5"/>
  <c r="I10" i="5"/>
  <c r="I25" i="5"/>
  <c r="I85" i="5"/>
  <c r="I67" i="5"/>
  <c r="I19" i="5"/>
  <c r="I63" i="5"/>
  <c r="I71" i="5"/>
  <c r="I79" i="5"/>
  <c r="I20" i="5"/>
  <c r="I60" i="5"/>
  <c r="I100" i="5"/>
  <c r="I3" i="5"/>
  <c r="I32" i="5"/>
  <c r="I17" i="5"/>
  <c r="I27" i="5"/>
  <c r="I36" i="5"/>
  <c r="I41" i="5"/>
  <c r="I76" i="5"/>
  <c r="I82" i="5"/>
  <c r="I29" i="5"/>
  <c r="I94" i="5"/>
  <c r="I70" i="5"/>
  <c r="I77" i="5"/>
  <c r="I18" i="5"/>
  <c r="I24" i="5"/>
  <c r="I16" i="5"/>
  <c r="I78" i="5"/>
  <c r="I97" i="5"/>
  <c r="I50" i="5"/>
  <c r="I43" i="5"/>
  <c r="I86" i="5"/>
  <c r="I2" i="5"/>
  <c r="I101" i="5"/>
  <c r="I99" i="5"/>
  <c r="I66" i="5"/>
  <c r="I46" i="5"/>
  <c r="I53" i="5"/>
  <c r="I95" i="5"/>
  <c r="I88" i="5"/>
  <c r="I61" i="5"/>
  <c r="I65" i="5"/>
  <c r="I30" i="5"/>
  <c r="I22" i="5"/>
  <c r="I9" i="5"/>
  <c r="I11" i="5"/>
  <c r="I13" i="5"/>
  <c r="I72" i="5"/>
  <c r="I75" i="5"/>
  <c r="I96" i="5"/>
  <c r="I52" i="5"/>
  <c r="I37" i="5"/>
  <c r="I31" i="5"/>
  <c r="I54" i="5"/>
  <c r="I40" i="5"/>
  <c r="I5" i="5"/>
  <c r="I15" i="5"/>
  <c r="I21" i="5"/>
  <c r="I68" i="5"/>
  <c r="I48" i="5"/>
  <c r="I49" i="5"/>
  <c r="I34" i="5"/>
  <c r="I39" i="5"/>
  <c r="I26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80" i="5"/>
  <c r="F42" i="5"/>
  <c r="F90" i="5"/>
  <c r="F62" i="5"/>
  <c r="F44" i="5"/>
  <c r="F38" i="5"/>
  <c r="F17" i="5"/>
  <c r="F82" i="5"/>
  <c r="F67" i="5"/>
  <c r="F2" i="5"/>
  <c r="F95" i="5"/>
  <c r="F34" i="5"/>
  <c r="F56" i="5"/>
  <c r="F69" i="5"/>
  <c r="F26" i="5"/>
  <c r="F71" i="5"/>
  <c r="F9" i="5"/>
  <c r="F70" i="5"/>
  <c r="F33" i="5"/>
  <c r="F24" i="5"/>
  <c r="F97" i="5"/>
  <c r="F85" i="5"/>
  <c r="F72" i="5"/>
  <c r="F66" i="5"/>
  <c r="F18" i="5"/>
  <c r="F58" i="5"/>
  <c r="F51" i="5"/>
  <c r="F14" i="5"/>
  <c r="F65" i="5"/>
  <c r="F98" i="5"/>
  <c r="F47" i="5"/>
  <c r="F11" i="5"/>
  <c r="F12" i="5"/>
  <c r="F27" i="5"/>
  <c r="F8" i="5"/>
  <c r="F5" i="5"/>
  <c r="F48" i="5"/>
  <c r="F87" i="5"/>
  <c r="F37" i="5"/>
  <c r="F40" i="5"/>
  <c r="F88" i="5"/>
  <c r="F41" i="5"/>
  <c r="F45" i="5"/>
  <c r="F15" i="5"/>
  <c r="F84" i="5"/>
  <c r="F3" i="5"/>
  <c r="F49" i="5"/>
  <c r="F22" i="5"/>
  <c r="F13" i="5"/>
  <c r="F91" i="5"/>
  <c r="F81" i="5"/>
  <c r="F77" i="5"/>
  <c r="F57" i="5"/>
  <c r="F29" i="5"/>
  <c r="F74" i="5"/>
  <c r="F78" i="5"/>
  <c r="F89" i="5"/>
  <c r="F43" i="5"/>
  <c r="F20" i="5"/>
  <c r="F96" i="5"/>
  <c r="F7" i="5"/>
  <c r="F32" i="5"/>
  <c r="F52" i="5"/>
  <c r="F25" i="5"/>
  <c r="F35" i="5"/>
  <c r="F59" i="5"/>
  <c r="F63" i="5"/>
  <c r="F100" i="5"/>
  <c r="F99" i="5"/>
  <c r="F93" i="5"/>
  <c r="F21" i="5"/>
  <c r="F64" i="5"/>
  <c r="F61" i="5"/>
  <c r="F31" i="5"/>
  <c r="F28" i="5"/>
  <c r="F94" i="5"/>
  <c r="F50" i="5"/>
  <c r="F53" i="5"/>
  <c r="F86" i="5"/>
  <c r="F55" i="5"/>
  <c r="F23" i="5"/>
  <c r="F10" i="5"/>
  <c r="F75" i="5"/>
  <c r="F60" i="5"/>
  <c r="F92" i="5"/>
  <c r="F76" i="5"/>
  <c r="F73" i="5"/>
  <c r="F46" i="5"/>
  <c r="F101" i="5"/>
  <c r="F19" i="5"/>
  <c r="F6" i="5"/>
  <c r="F16" i="5"/>
  <c r="F39" i="5"/>
  <c r="F79" i="5"/>
  <c r="F54" i="5"/>
  <c r="F30" i="5"/>
  <c r="F68" i="5"/>
  <c r="F83" i="5"/>
  <c r="F36" i="5"/>
  <c r="F4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66" i="5"/>
  <c r="H40" i="5"/>
  <c r="H24" i="5"/>
  <c r="H21" i="5"/>
  <c r="H9" i="5"/>
  <c r="H85" i="5"/>
  <c r="H28" i="5"/>
  <c r="H76" i="5"/>
  <c r="H27" i="5"/>
  <c r="H70" i="5"/>
  <c r="H54" i="5"/>
  <c r="H52" i="5"/>
  <c r="H59" i="5"/>
  <c r="H93" i="5"/>
  <c r="H29" i="5"/>
  <c r="H51" i="5"/>
  <c r="H5" i="5"/>
  <c r="H44" i="5"/>
  <c r="H41" i="5"/>
  <c r="H84" i="5"/>
  <c r="H17" i="5"/>
  <c r="H55" i="5"/>
  <c r="H16" i="5"/>
  <c r="H33" i="5"/>
  <c r="H19" i="5"/>
  <c r="H91" i="5"/>
  <c r="H63" i="5"/>
  <c r="H99" i="5"/>
  <c r="H12" i="5"/>
  <c r="H87" i="5"/>
  <c r="H2" i="5"/>
  <c r="H58" i="5"/>
  <c r="H38" i="5"/>
  <c r="H68" i="5"/>
  <c r="H7" i="5"/>
  <c r="H72" i="5"/>
  <c r="H74" i="5"/>
  <c r="H42" i="5"/>
  <c r="H46" i="5"/>
  <c r="H92" i="5"/>
  <c r="H32" i="5"/>
  <c r="H30" i="5"/>
  <c r="H43" i="5"/>
  <c r="H14" i="5"/>
  <c r="H75" i="5"/>
  <c r="H37" i="5"/>
  <c r="H86" i="5"/>
  <c r="H31" i="5"/>
  <c r="H36" i="5"/>
  <c r="H20" i="5"/>
  <c r="H13" i="5"/>
  <c r="H97" i="5"/>
  <c r="H88" i="5"/>
  <c r="H90" i="5"/>
  <c r="H60" i="5"/>
  <c r="H101" i="5"/>
  <c r="H10" i="5"/>
  <c r="H73" i="5"/>
  <c r="H35" i="5"/>
  <c r="H79" i="5"/>
  <c r="H50" i="5"/>
  <c r="H15" i="5"/>
  <c r="H69" i="5"/>
  <c r="H96" i="5"/>
  <c r="H89" i="5"/>
  <c r="H25" i="5"/>
  <c r="H18" i="5"/>
  <c r="H78" i="5"/>
  <c r="H81" i="5"/>
  <c r="H65" i="5"/>
  <c r="H47" i="5"/>
  <c r="H71" i="5"/>
  <c r="H95" i="5"/>
  <c r="H80" i="5"/>
  <c r="H53" i="5"/>
  <c r="H23" i="5"/>
  <c r="H3" i="5"/>
  <c r="H8" i="5"/>
  <c r="H26" i="5"/>
  <c r="H62" i="5"/>
  <c r="H56" i="5"/>
  <c r="H98" i="5"/>
  <c r="H6" i="5"/>
  <c r="H64" i="5"/>
  <c r="H100" i="5"/>
  <c r="H83" i="5"/>
  <c r="H34" i="5"/>
  <c r="H77" i="5"/>
  <c r="H67" i="5"/>
  <c r="H11" i="5"/>
  <c r="H4" i="5"/>
  <c r="H57" i="5"/>
  <c r="H39" i="5"/>
  <c r="H49" i="5"/>
  <c r="H45" i="5"/>
  <c r="H61" i="5"/>
  <c r="H48" i="5"/>
  <c r="H94" i="5"/>
  <c r="H82" i="5"/>
  <c r="H22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<sst xmlns="http://schemas.openxmlformats.org/spreadsheetml/2006/main" count="528" uniqueCount="330">
  <si>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</si>
  <si>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</si>
  <si>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</si>
  <si>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</si>
  <si>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</si>
  <si>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</si>
  <si>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</si>
  <si>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</si>
  <si>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</si>
  <si>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</si>
  <si>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</si>
  <si>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</si>
  <si>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</si>
  <si>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</si>
  <si>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</si>
  <si>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</si>
  <si>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</si>
  <si>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</si>
  <si>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</si>
  <si>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</si>
  <si>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</si>
  <si>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</si>
  <si>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</si>
  <si>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</si>
  <si>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</si>
  <si>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</si>
  <si>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</si>
  <si>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</si>
  <si>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</si>
  <si>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</si>
  <si>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</si>
  <si>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</si>
  <si>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</si>
  <si>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</si>
  <si>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</si>
  <si>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</si>
  <si>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</si>
  <si>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</si>
  <si>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</si>
  <si>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</si>
  <si>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</si>
  <si>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</si>
  <si>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</si>
  <si>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</si>
  <si>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</si>
  <si>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</si>
  <si>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</si>
  <si>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</si>
  <si>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</si>
  <si>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</si>
  <si>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</si>
  <si>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</si>
  <si>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</si>
  <si>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</si>
  <si>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</si>
  <si>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</si>
  <si>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</si>
  <si>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</si>
  <si>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</si>
  <si>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</si>
  <si>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</si>
  <si>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</si>
  <si>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</si>
  <si>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</si>
  <si>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</si>
  <si>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</si>
  <si>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</si>
  <si>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</si>
  <si>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</si>
  <si>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</si>
  <si>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</si>
  <si>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</si>
  <si>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</si>
  <si>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</si>
  <si>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</si>
  <si>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</si>
  <si>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</si>
  <si>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</si>
  <si>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</si>
  <si>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</si>
  <si>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</si>
  <si>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</si>
  <si>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</si>
  <si>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</si>
  <si>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</si>
  <si>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</si>
  <si>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</si>
  <si>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</si>
  <si>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</si>
  <si>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</si>
  <si>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</si>
  <si>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</si>
  <si>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</si>
  <si>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</si>
  <si>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</si>
  <si>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</si>
  <si>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</si>
  <si>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</si>
  <si>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</si>
  <si>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</si>
  <si>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</si>
  <si>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</si>
  <si>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</si>
  <si>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</si>
  <si>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</si>
  <si>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</si>
  <si>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</si>
  <si>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</si>
  <si>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</si>
  <si>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</si>
  <si>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</si>
  <si>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</si>
  <si>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</si>
  <si>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</si>
  <si>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</si>
  <si>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</si>
  <si>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</si>
  <si>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</si>
  <si>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</si>
  <si>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</si>
  <si>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</si>
  <si>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</si>
  <si>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</si>
  <si>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</si>
  <si>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</si>
  <si>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</si>
  <si>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</si>
  <si>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</si>
  <si>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</si>
  <si>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</si>
  <si>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</si>
  <si>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</si>
  <si>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</si>
  <si>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</si>
  <si>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</si>
  <si>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</si>
  <si>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</si>
  <si>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</si>
  <si>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</si>
  <si>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</si>
  <si>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</si>
  <si>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</si>
  <si>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</si>
  <si>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</si>
  <si>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</si>
  <si>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</si>
  <si>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</si>
  <si>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</si>
  <si>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</si>
  <si>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</si>
  <si>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</si>
  <si>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</si>
  <si>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</si>
  <si>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</si>
  <si>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</si>
  <si>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</si>
  <si>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</si>
  <si>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</si>
  <si>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</si>
  <si>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</si>
  <si>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</si>
  <si>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</si>
  <si>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</si>
  <si>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</si>
  <si>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</si>
  <si>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</si>
  <si>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</si>
  <si>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</si>
  <si>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</si>
  <si>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</si>
  <si>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</si>
  <si>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</si>
  <si>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</si>
  <si>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</si>
  <si>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</si>
  <si>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</si>
  <si>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</si>
  <si>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</si>
  <si>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</si>
  <si>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</si>
  <si>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</si>
  <si>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</si>
  <si>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</si>
  <si>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</si>
  <si>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</si>
  <si>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</si>
  <si>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</si>
  <si>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</si>
  <si>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</si>
  <si>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</si>
  <si>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</si>
  <si>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</si>
  <si>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</si>
  <si>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</si>
  <si>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</si>
  <si>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</si>
  <si>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</si>
  <si>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</si>
  <si>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</si>
  <si>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</si>
  <si>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</si>
  <si>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</si>
  <si>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</si>
  <si>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</si>
  <si>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</si>
  <si>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</si>
  <si>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</si>
  <si>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</si>
  <si>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</si>
  <si>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</si>
  <si>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</si>
  <si>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</si>
  <si>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</si>
  <si>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</si>
  <si>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</si>
  <si>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</si>
  <si>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</si>
  <si>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</si>
  <si>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Introduccion</t>
  </si>
  <si>
    <t>Planteamiento del Problema</t>
  </si>
  <si>
    <t>Objetivos</t>
  </si>
  <si>
    <t>Alcance</t>
  </si>
  <si>
    <t>Ing. Jenny Ruiz</t>
  </si>
  <si>
    <t>Cristian Becerra</t>
  </si>
  <si>
    <t>Ismael Silva</t>
  </si>
  <si>
    <t>Kevin Castillo</t>
  </si>
  <si>
    <t>Cristian Becerra, Kevin Castillo</t>
  </si>
  <si>
    <t>Cristian Becerra, Kevin Castillo, Ismael Silva</t>
  </si>
  <si>
    <t xml:space="preserve">Lista de Interesado                                                        </t>
  </si>
  <si>
    <t>FODA</t>
  </si>
  <si>
    <t>Marco Teorico</t>
  </si>
  <si>
    <t>Ideas a Defender</t>
  </si>
  <si>
    <t>Resultados Esperados</t>
  </si>
  <si>
    <t>Referencias</t>
  </si>
  <si>
    <t>Realizacion Guion de Entrevista</t>
  </si>
  <si>
    <t>Videoreunion 1</t>
  </si>
  <si>
    <t>Podcast</t>
  </si>
  <si>
    <t>Realizacion Matriz Historias de Usuario</t>
  </si>
  <si>
    <t>Videoreunion 2</t>
  </si>
  <si>
    <t>Realizacion Backlog</t>
  </si>
  <si>
    <t>Reunion Scrum Team</t>
  </si>
  <si>
    <t>Funcionalidad Sprint 1</t>
  </si>
  <si>
    <t>REQ001: Inicio de Sesion</t>
  </si>
  <si>
    <t>REQ001-1: Validacion de Credenciales</t>
  </si>
  <si>
    <t>REQ001-2: Enmascaramiento de constrasena</t>
  </si>
  <si>
    <t>REQ001-3: Mensaje de Error en caso de credenciales incorrectas</t>
  </si>
  <si>
    <t>REQ001-4: Bloqueo del sistema por 30 segundos tras 3 intentos fallidos</t>
  </si>
  <si>
    <t>REQ002: Gestion de Comandas</t>
  </si>
  <si>
    <t>REQ002-1: La interfaz debe mostrar todos los productos con precios visibles y un selector de cantidades</t>
  </si>
  <si>
    <t>REQ002-2:La comanda debe permitir recolectar datos del pedido, incluyendo nombre del cliente, platos, cantidades y precios</t>
  </si>
  <si>
    <t>REQ002-3:La interfaz debe incluir un campo para comentarios o peticiones especiales del cliente</t>
  </si>
  <si>
    <t>REQ002-3:El resumen debe mostrar la comanda con cálculo automático del precio total</t>
  </si>
  <si>
    <t>REQ002-3:El botón de confirmación debe generar y guardar la comanda en la base de datos</t>
  </si>
  <si>
    <t>REQ003: Visualizacion de Comandas</t>
  </si>
  <si>
    <t>REQ003-1:La pantalla debe mostrar dos secciones: "Pedidos en Proceso" en rojo y "Pedidos Listos" en verde</t>
  </si>
  <si>
    <t>REQ003-2:Los pedidos deben organizarse en orden de llegada</t>
  </si>
  <si>
    <t>REQ003-3:Cada pedido debe mostrar detalles completos de la comanda</t>
  </si>
  <si>
    <t>REQ003-4:El botón "Realizado" debe cambiar pedidos de "en proceso" a "Realizados"</t>
  </si>
  <si>
    <t>REQ003-5:Los cambios deben reflejarse en tiempo real al actualizar el estado</t>
  </si>
  <si>
    <t>Funcionalidad Sprint 2</t>
  </si>
  <si>
    <t xml:space="preserve">REQ004:Gestion de Roles de usuario </t>
  </si>
  <si>
    <t>REQ004-1:Diseñar y desarrollar un formulario de gestión de usuarios que permita crear y editar usuarios, asignándoles un rol específico según su cargo</t>
  </si>
  <si>
    <t>REQ004-2:Definir y configurar los diferentes roles del sistema (ej: Administrador, Cajero, Mesero, Cocina), con sus respectivos permisos y accesos a interfaces</t>
  </si>
  <si>
    <t>REQ004-3:Implementar la lógica de restricción de acceso, donde cada rol solo pueda ver y usar las interfaces y funcionalidades asignadas</t>
  </si>
  <si>
    <t>REQ004-4:Verificar que al iniciar sesión, cada usuario solo tenga acceso a las opciones de su rol, bloqueando las demás secciones del sistema</t>
  </si>
  <si>
    <t>Registro de personas o grupos involucrados.</t>
  </si>
  <si>
    <t>Análisis de Fortalezas, Oportunidades, Debilidades y Amenazas.</t>
  </si>
  <si>
    <t>Presentación general del proyecto.</t>
  </si>
  <si>
    <t>Definición del problema a resolver.</t>
  </si>
  <si>
    <t>Metas del proyecto.</t>
  </si>
  <si>
    <t>Límites y entregables del proyecto.</t>
  </si>
  <si>
    <t>Base conceptual y antecedentes.</t>
  </si>
  <si>
    <t>Hipótesis principales del proyecto.</t>
  </si>
  <si>
    <t>Productos finales anticipados.</t>
  </si>
  <si>
    <t>Fuentes de información consultadas.</t>
  </si>
  <si>
    <t>Diseño de preguntas para stakeholders.</t>
  </si>
  <si>
    <t>Primera reunión virtual de alineación.</t>
  </si>
  <si>
    <t>Episodio de audio sobre el proyecto.</t>
  </si>
  <si>
    <t>Tabla con historias de usuario y criterios.</t>
  </si>
  <si>
    <t>Segunda reunión virtual de seguimiento.</t>
  </si>
  <si>
    <t>Lista priorizada de requisitos.</t>
  </si>
  <si>
    <t>Encuentro del equipo ágil.</t>
  </si>
  <si>
    <t>Requisitos del primer ciclo de desarrollo.</t>
  </si>
  <si>
    <t>Sistema de autenticación seguro.</t>
  </si>
  <si>
    <t>Verificar usuario y contraseña en BD.</t>
  </si>
  <si>
    <t>Ocultar contraseña al escribir.</t>
  </si>
  <si>
    <t>Mostrar si credenciales son incorrectas.</t>
  </si>
  <si>
    <t>Bloquear tras 3 intentos fallidos.</t>
  </si>
  <si>
    <t>Crear y registrar pedidos.</t>
  </si>
  <si>
    <t>Mostrar productos con precios y selector.</t>
  </si>
  <si>
    <t>Capturar datos del cliente y pedido.</t>
  </si>
  <si>
    <t>Área para peticiones especiales.</t>
  </si>
  <si>
    <t>Mostrar comanda y total automático.</t>
  </si>
  <si>
    <t>Guardar comanda en BD.</t>
  </si>
  <si>
    <t>Pantalla para gestión en cocina.</t>
  </si>
  <si>
    <t>Secciones "En Proceso" y "Listos".</t>
  </si>
  <si>
    <t>Organizar pedidos por orden de entrada.</t>
  </si>
  <si>
    <t>Mostrar toda la información del pedido.</t>
  </si>
  <si>
    <t>Cambiar estado del pedido.</t>
  </si>
  <si>
    <t>Reflejar cambios sin recargar.</t>
  </si>
  <si>
    <t>REQ005: Actualización de Credenciales</t>
  </si>
  <si>
    <t>REQ005-1: Crear apartados en la pantalla con dos botones: "Cambiar Usuario" y "Cambiar Contraseña"</t>
  </si>
  <si>
    <t>REQ005-2:El sistema debe validar cuando se ingrese en cualquier botón, mostrar preguntas de seguridad para confirmar su identidad</t>
  </si>
  <si>
    <t>REQ005-3:Para contraseña, pedirla dos veces (Nueva Contraseña y Confirmar Contraseña) para evitar errores</t>
  </si>
  <si>
    <t>REQ005-4:Creacion del boton "Guardar Cambios" debe actualizar las credenciales en la base de datos si todas las validaciones son exitosas</t>
  </si>
  <si>
    <t>REQ005-5:Mostrar mensaje de "Cambio exitoso" y permitir entrar al sistema con las nuevas credenciales</t>
  </si>
  <si>
    <t>REQ006-1:Crear la interfaz de generador de reportes diarios que contendra la busqueda por fecha, tipo de reporte y el botón generar reporte</t>
  </si>
  <si>
    <t>REQ006-2:El reporte debe generar un listado diario con platos vendidos, precios y cantidades</t>
  </si>
  <si>
    <t>REQ006-3:El reporte debe incluir datos de hora de cada comanda generada</t>
  </si>
  <si>
    <t>REQ006-4:El reporte debe calcular y mostrar el total general de ventas del día</t>
  </si>
  <si>
    <t>REQ006-5:El botón "Generar reporte" debe mostrar el reporte en formato PDF</t>
  </si>
  <si>
    <t>Requisitos del segundo ciclo de desarrollo.</t>
  </si>
  <si>
    <t>Se debe poder asignar un rol de usuario dependiendo al cargo que posee y su acceso a diferentes interfaces.</t>
  </si>
  <si>
    <t>Crear y editar usuarios asignándoles un rol.</t>
  </si>
  <si>
    <t>Definir roles con permisos específicos.</t>
  </si>
  <si>
    <t>Restringir funciones según el rol asignado.</t>
  </si>
  <si>
    <t>Mostrar solo opciones permitidas al iniciar sesión.</t>
  </si>
  <si>
    <t>El sistema debe permitir modificar las credenciales como el usuario y la contraseña</t>
  </si>
  <si>
    <t>Habilitar opciones para cambiar usuario o contraseña.</t>
  </si>
  <si>
    <t>Verificar identidad con preguntas de seguridad.</t>
  </si>
  <si>
    <t>Confirmar la nueva contraseña.</t>
  </si>
  <si>
    <t>Guardar cambios validados en la base de datos.</t>
  </si>
  <si>
    <t>Confirmar cambio y permitir acceso.</t>
  </si>
  <si>
    <t>REQ006: Reporte de Ventas</t>
  </si>
  <si>
    <t>El programa debe Generar reportes detallando los datos de las comandas generadas diariamente (cliente, plato, camtidad, precio) incluyendo la hora, y obteniendo con ella totales de cada uno de los datos.</t>
  </si>
  <si>
    <t>Crear interfaz para generar reportes diarios.</t>
  </si>
  <si>
    <t>Listar platos vendidos con precios y cantidades.</t>
  </si>
  <si>
    <t>Incluir la hora de cada comanda.</t>
  </si>
  <si>
    <t>Calcular y mostrar el total de ventas del día.</t>
  </si>
  <si>
    <t>Generar el reporte en formato 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</si>
</sst>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95" activePane="bottomLeft" state="frozen"/>
      <selection pane="bottomLeft" activeCell="S98" sqref="S98:T98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(2 de 60)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60)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60)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(58 de 60)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60)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60)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60)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60)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60)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60)</v>
      </c>
      <c r="AW4" s="116"/>
      <c r="AX4" s="116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59:</v>
      </c>
      <c r="D6" s="114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0</v>
      </c>
      <c r="E6" s="114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4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4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4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0</v>
      </c>
      <c r="E8" s="114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4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0</v>
      </c>
      <c r="E9" s="114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4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14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4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0</v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58:</v>
      </c>
      <c r="D15" s="114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0</v>
      </c>
      <c r="E15" s="114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57:</v>
      </c>
      <c r="S15" s="114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0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4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0</v>
      </c>
      <c r="E16" s="114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4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0</v>
      </c>
      <c r="E17" s="114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0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4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0</v>
      </c>
      <c r="E18" s="114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0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4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14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0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/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/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4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0</v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0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56:</v>
      </c>
      <c r="S24" s="114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0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0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0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0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/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/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0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55:</v>
      </c>
      <c r="S33" s="114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0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0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0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0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/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/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0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54:</v>
      </c>
      <c r="S42" s="114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0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0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0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0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/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/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0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53: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REQ006-5:El botón "Generar reporte" debe mostrar el reporte en formato PDF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Generar el reporte en formato PDF.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46023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46028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46028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6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Kevin Castillo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52: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REQ006-4:El reporte debe calcular y mostrar el total general de ventas del día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Calcular y mostrar el total de ventas del día.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46023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46028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46028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6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Kevin Castillo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51: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REQ006-3:El reporte debe incluir datos de hora de cada comanda generada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Incluir la hora de cada comanda.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46023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46028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46028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6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Kevin Castillo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50: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REQ006-2:El reporte debe generar un listado diario con platos vendidos, precios y cantidades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Listar platos vendidos con precios y cantidades.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46023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46028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46028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6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Kevin Castillo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49: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REQ006-1:Crear la interfaz de generador de reportes diarios que contendra la busqueda por fecha, tipo de reporte y el botón generar reporte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Crear interfaz para generar reportes diarios.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46023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46028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46028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6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Kevin Castillo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48: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REQ006: Reporte de Ventas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programa debe Generar reportes detallando los datos de las comandas generadas diariamente (cliente, plato, camtidad, precio) incluyendo la hora, y obteniendo con ella totales de cada uno de los datos.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46023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46028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46028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6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Kevin Castillo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47: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REQ005-5:Mostrar mensaje de "Cambio exitoso" y permitir entrar al sistema con las nuevas credenciales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Confirmar cambio y permitir acceso.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46014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46022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46022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9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Cristian Becerra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46: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REQ005-4:Creacion del boton "Guardar Cambios" debe actualizar las credenciales en la base de datos si todas las validaciones son exitosas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Guardar cambios validados en la base de datos.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46014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46022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46022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9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Cristian Becerra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45: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REQ005-3:Para contraseña, pedirla dos veces (Nueva Contraseña y Confirmar Contraseña) para evitar errores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Confirmar la nueva contraseña.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46014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46022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46022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9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Cristian Becerra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44: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REQ005-2:El sistema debe validar cuando se ingrese en cualquier botón, mostrar preguntas de seguridad para confirmar su identidad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Verificar identidad con preguntas de seguridad.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46014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46022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46022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9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Cristian Becerra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43: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REQ005-1: Crear apartados en la pantalla con dos botones: "Cambiar Usuario" y "Cambiar Contraseña"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Habilitar opciones para cambiar usuario o contraseña.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46014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46022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46022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9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Cristian Becerra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42: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REQ005: Actualización de Credenciales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El sistema debe permitir modificar las credenciales como el usuario y la contraseña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46014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46022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46022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9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Cristian Becerra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41: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REQ004-4:Verificar que al iniciar sesión, cada usuario solo tenga acceso a las opciones de su rol, bloqueando las demás secciones del sistema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Mostrar solo opciones permitidas al iniciar sesión.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46013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46018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46018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6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Ismael Silva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40: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REQ004-3:Implementar la lógica de restricción de acceso, donde cada rol solo pueda ver y usar las interfaces y funcionalidades asignadas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Restringir funciones según el rol asignado.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46013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46018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46018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6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Ismael Silva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39: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REQ004-2:Definir y configurar los diferentes roles del sistema (ej: Administrador, Cajero, Mesero, Cocina), con sus respectivos permisos y accesos a interfaces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Definir roles con permisos específicos.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46013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46018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46018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6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Ismael Silva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38: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REQ004-1:Diseñar y desarrollar un formulario de gestión de usuarios que permita crear y editar usuarios, asignándoles un rol específico según su cargo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Crear y editar usuarios asignándoles un rol.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46013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46018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46018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6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Ismael Silva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37: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 xml:space="preserve">REQ004:Gestion de Roles de usuario 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Se debe poder asignar un rol de usuario dependiendo al cargo que posee y su acceso a diferentes interfaces.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46013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46018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46018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6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40" activePane="bottomLeft" state="frozen"/>
      <selection pane="bottomLeft" activeCell="A51" sqref="A51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5</v>
      </c>
      <c r="B2" s="92" t="s">
        <v>8</v>
      </c>
      <c r="C2" s="104" t="s">
        <v>228</v>
      </c>
      <c r="D2" s="102" t="s">
        <v>265</v>
      </c>
      <c r="E2" s="103">
        <v>45947</v>
      </c>
      <c r="F2" s="93">
        <v>45953</v>
      </c>
      <c r="G2" s="93">
        <v>45953</v>
      </c>
      <c r="H2" s="43" t="str">
        <f>IF(Datos!$G2&gt;0,Datos!$G2-Datos!$E2+1 &amp; " " &amp; Idiomas!$A$29,"")</f>
        <v>7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" x14ac:dyDescent="0.25">
      <c r="A3" s="94" t="s">
        <v>5</v>
      </c>
      <c r="B3" s="95" t="s">
        <v>3</v>
      </c>
      <c r="C3" s="3" t="s">
        <v>229</v>
      </c>
      <c r="D3" s="104" t="s">
        <v>266</v>
      </c>
      <c r="E3" s="105">
        <v>45946</v>
      </c>
      <c r="F3" s="96">
        <v>45959</v>
      </c>
      <c r="G3" s="96">
        <v>45959</v>
      </c>
      <c r="H3" s="45" t="str">
        <f>IF(Datos!$G3&gt;0,Datos!$G3-Datos!$E3+1 &amp; " " &amp; Idiomas!$A$29,"")</f>
        <v>14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224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3</v>
      </c>
      <c r="C4" s="92" t="s">
        <v>218</v>
      </c>
      <c r="D4" s="92" t="s">
        <v>267</v>
      </c>
      <c r="E4" s="103">
        <v>45942</v>
      </c>
      <c r="F4" s="93">
        <v>45975</v>
      </c>
      <c r="G4" s="93">
        <v>45975</v>
      </c>
      <c r="H4" s="43" t="str">
        <f>IF(Datos!$G4&gt;0,Datos!$G4-Datos!$E4+1 &amp; " " &amp; Idiomas!$A$29,"")</f>
        <v>34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223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3</v>
      </c>
      <c r="C5" s="3" t="s">
        <v>219</v>
      </c>
      <c r="D5" s="95" t="s">
        <v>268</v>
      </c>
      <c r="E5" s="96">
        <v>45942</v>
      </c>
      <c r="F5" s="96">
        <v>45975</v>
      </c>
      <c r="G5" s="96">
        <v>45975</v>
      </c>
      <c r="H5" s="45" t="str">
        <f>IF(Datos!$G5&gt;0,Datos!$G5-Datos!$E5+1 &amp; " " &amp; Idiomas!$A$29,"")</f>
        <v>34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224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5">
      <c r="A6" s="91" t="s">
        <v>5</v>
      </c>
      <c r="B6" s="92" t="s">
        <v>3</v>
      </c>
      <c r="C6" s="107" t="s">
        <v>220</v>
      </c>
      <c r="D6" s="102" t="s">
        <v>269</v>
      </c>
      <c r="E6" s="93">
        <v>45942</v>
      </c>
      <c r="F6" s="93">
        <v>45975</v>
      </c>
      <c r="G6" s="93">
        <v>45975</v>
      </c>
      <c r="H6" s="43" t="str">
        <f>IF(Datos!$G6&gt;0,Datos!$G6-Datos!$E6+1 &amp; " " &amp; Idiomas!$A$29,"")</f>
        <v>34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6</v>
      </c>
      <c r="C7" s="106" t="s">
        <v>221</v>
      </c>
      <c r="D7" s="95" t="s">
        <v>270</v>
      </c>
      <c r="E7" s="96">
        <v>45942</v>
      </c>
      <c r="F7" s="96">
        <v>45975</v>
      </c>
      <c r="G7" s="96">
        <v>45975</v>
      </c>
      <c r="H7" s="45" t="str">
        <f>IF(Datos!$G7&gt;0,Datos!$G7-Datos!$E7+1 &amp; " " &amp; Idiomas!$A$29,"")</f>
        <v>34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5</v>
      </c>
      <c r="B8" s="92" t="s">
        <v>6</v>
      </c>
      <c r="C8" s="109" t="s">
        <v>230</v>
      </c>
      <c r="D8" s="102" t="s">
        <v>271</v>
      </c>
      <c r="E8" s="110">
        <v>45942</v>
      </c>
      <c r="F8" s="93">
        <v>45975</v>
      </c>
      <c r="G8" s="110">
        <v>45975</v>
      </c>
      <c r="H8" s="43" t="str">
        <f>IF(Datos!$G8&gt;0,Datos!$G8-Datos!$E8+1 &amp; " " &amp; Idiomas!$A$29,"")</f>
        <v>34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224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5</v>
      </c>
      <c r="B9" s="95" t="s">
        <v>6</v>
      </c>
      <c r="C9" s="106" t="s">
        <v>231</v>
      </c>
      <c r="D9" s="95" t="s">
        <v>272</v>
      </c>
      <c r="E9" s="96">
        <v>45942</v>
      </c>
      <c r="F9" s="96">
        <v>45975</v>
      </c>
      <c r="G9" s="96">
        <v>45975</v>
      </c>
      <c r="H9" s="45" t="str">
        <f>IF(Datos!$G9&gt;0,Datos!$G9-Datos!$E9+1 &amp; " " &amp; Idiomas!$A$29,"")</f>
        <v>34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223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5</v>
      </c>
      <c r="B10" s="92" t="s">
        <v>6</v>
      </c>
      <c r="C10" s="107" t="s">
        <v>232</v>
      </c>
      <c r="D10" s="92" t="s">
        <v>273</v>
      </c>
      <c r="E10" s="93">
        <v>45942</v>
      </c>
      <c r="F10" s="93">
        <v>45975</v>
      </c>
      <c r="G10" s="93">
        <v>45975</v>
      </c>
      <c r="H10" s="43" t="str">
        <f>IF(Datos!$G10&gt;0,Datos!$G10-Datos!$E10+1 &amp; " " &amp; Idiomas!$A$29,"")</f>
        <v>34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223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3</v>
      </c>
      <c r="C11" s="106" t="s">
        <v>233</v>
      </c>
      <c r="D11" s="95" t="s">
        <v>274</v>
      </c>
      <c r="E11" s="97">
        <v>45942</v>
      </c>
      <c r="F11" s="96">
        <v>45975</v>
      </c>
      <c r="G11" s="96">
        <v>45975</v>
      </c>
      <c r="H11" s="45" t="str">
        <f>IF(Datos!$G11&gt;0,Datos!$G11-Datos!$E11+1 &amp; " " &amp; Idiomas!$A$29,"")</f>
        <v>34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223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0" x14ac:dyDescent="0.25">
      <c r="A12" s="91" t="s">
        <v>5</v>
      </c>
      <c r="B12" s="92" t="s">
        <v>3</v>
      </c>
      <c r="C12" s="107" t="s">
        <v>234</v>
      </c>
      <c r="D12" s="102" t="s">
        <v>275</v>
      </c>
      <c r="E12" s="98">
        <v>45953</v>
      </c>
      <c r="F12" s="93">
        <v>45966</v>
      </c>
      <c r="G12" s="93">
        <v>45966</v>
      </c>
      <c r="H12" s="43" t="str">
        <f>IF(Datos!$G12&gt;0,Datos!$G12-Datos!$E12+1 &amp; " " &amp; Idiomas!$A$29,"")</f>
        <v>14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224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5</v>
      </c>
      <c r="B13" s="95" t="s">
        <v>3</v>
      </c>
      <c r="C13" s="108" t="s">
        <v>235</v>
      </c>
      <c r="D13" s="104" t="s">
        <v>276</v>
      </c>
      <c r="E13" s="96">
        <v>45953</v>
      </c>
      <c r="F13" s="96">
        <v>45966</v>
      </c>
      <c r="G13" s="96">
        <v>45966</v>
      </c>
      <c r="H13" s="45" t="str">
        <f>IF(Datos!$G13&gt;0,Datos!$G13-Datos!$E13+1 &amp; " " &amp; Idiomas!$A$29,"")</f>
        <v>14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227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5</v>
      </c>
      <c r="B14" s="92" t="s">
        <v>8</v>
      </c>
      <c r="C14" s="107" t="s">
        <v>236</v>
      </c>
      <c r="D14" s="102" t="s">
        <v>277</v>
      </c>
      <c r="E14" s="110">
        <v>45953</v>
      </c>
      <c r="F14" s="93">
        <v>45966</v>
      </c>
      <c r="G14" s="110">
        <v>45966</v>
      </c>
      <c r="H14" s="43" t="str">
        <f>IF(Datos!$G14&gt;0,Datos!$G14-Datos!$E14+1 &amp; " " &amp; Idiomas!$A$29,"")</f>
        <v>14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227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5</v>
      </c>
      <c r="B15" s="95" t="s">
        <v>8</v>
      </c>
      <c r="C15" s="106" t="s">
        <v>237</v>
      </c>
      <c r="D15" s="95" t="s">
        <v>278</v>
      </c>
      <c r="E15" s="111">
        <v>45942</v>
      </c>
      <c r="F15" s="96">
        <v>45989</v>
      </c>
      <c r="G15" s="111">
        <v>45989</v>
      </c>
      <c r="H15" s="45" t="str">
        <f>IF(Datos!$G15&gt;0,Datos!$G15-Datos!$E15+1 &amp; " " &amp; Idiomas!$A$29,"")</f>
        <v>48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227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0" x14ac:dyDescent="0.25">
      <c r="A16" s="91" t="s">
        <v>5</v>
      </c>
      <c r="B16" s="92" t="s">
        <v>8</v>
      </c>
      <c r="C16" s="112" t="s">
        <v>238</v>
      </c>
      <c r="D16" s="102" t="s">
        <v>279</v>
      </c>
      <c r="E16" s="110">
        <v>45961</v>
      </c>
      <c r="F16" s="110">
        <v>45974</v>
      </c>
      <c r="G16" s="110">
        <v>45974</v>
      </c>
      <c r="H16" s="43" t="str">
        <f>IF(Datos!$G16&gt;0,Datos!$G16-Datos!$E16+1 &amp; " " &amp; Idiomas!$A$29,"")</f>
        <v>14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227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5</v>
      </c>
      <c r="B17" s="95" t="s">
        <v>8</v>
      </c>
      <c r="C17" s="106" t="s">
        <v>239</v>
      </c>
      <c r="D17" s="104" t="s">
        <v>280</v>
      </c>
      <c r="E17" s="111">
        <v>45976</v>
      </c>
      <c r="F17" s="96">
        <v>45989</v>
      </c>
      <c r="G17" s="96">
        <v>45989</v>
      </c>
      <c r="H17" s="45" t="str">
        <f>IF(Datos!$G17&gt;0,Datos!$G17-Datos!$E17+1 &amp; " " &amp; Idiomas!$A$29,"")</f>
        <v>14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227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5</v>
      </c>
      <c r="B18" s="92" t="s">
        <v>8</v>
      </c>
      <c r="C18" s="109" t="s">
        <v>240</v>
      </c>
      <c r="D18" s="92" t="s">
        <v>281</v>
      </c>
      <c r="E18" s="110">
        <v>45984</v>
      </c>
      <c r="F18" s="110">
        <v>45984</v>
      </c>
      <c r="G18" s="110">
        <v>45984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227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5</v>
      </c>
      <c r="B19" s="95" t="s">
        <v>6</v>
      </c>
      <c r="C19" s="106" t="s">
        <v>241</v>
      </c>
      <c r="D19" s="95" t="s">
        <v>282</v>
      </c>
      <c r="E19" s="111">
        <v>45997</v>
      </c>
      <c r="F19" s="111">
        <v>46012</v>
      </c>
      <c r="G19" s="111">
        <v>46012</v>
      </c>
      <c r="H19" s="45" t="str">
        <f>IF(Datos!$G19&gt;0,Datos!$G19-Datos!$E19+1 &amp; " " &amp; Idiomas!$A$29,"")</f>
        <v>16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227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5</v>
      </c>
      <c r="B20" s="92" t="s">
        <v>6</v>
      </c>
      <c r="C20" s="109" t="s">
        <v>242</v>
      </c>
      <c r="D20" s="92" t="s">
        <v>283</v>
      </c>
      <c r="E20" s="110">
        <v>45997</v>
      </c>
      <c r="F20" s="110">
        <v>46003</v>
      </c>
      <c r="G20" s="110">
        <v>46003</v>
      </c>
      <c r="H20" s="43" t="str">
        <f>IF(Datos!$G20&gt;0,Datos!$G20-Datos!$E20+1 &amp; " " &amp; Idiomas!$A$29,"")</f>
        <v>7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225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30" x14ac:dyDescent="0.25">
      <c r="A21" s="94" t="s">
        <v>5</v>
      </c>
      <c r="B21" s="95" t="s">
        <v>6</v>
      </c>
      <c r="C21" s="108" t="s">
        <v>243</v>
      </c>
      <c r="D21" s="104" t="s">
        <v>284</v>
      </c>
      <c r="E21" s="111">
        <v>45997</v>
      </c>
      <c r="F21" s="111">
        <v>46003</v>
      </c>
      <c r="G21" s="111">
        <v>46003</v>
      </c>
      <c r="H21" s="45" t="str">
        <f>IF(Datos!$G21&gt;0,Datos!$G21-Datos!$E21+1 &amp; " " &amp; Idiomas!$A$29,"")</f>
        <v>7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5</v>
      </c>
      <c r="B22" s="92" t="s">
        <v>6</v>
      </c>
      <c r="C22" s="109" t="s">
        <v>244</v>
      </c>
      <c r="D22" s="92" t="s">
        <v>285</v>
      </c>
      <c r="E22" s="110">
        <v>45997</v>
      </c>
      <c r="F22" s="110">
        <v>46003</v>
      </c>
      <c r="G22" s="110">
        <v>46003</v>
      </c>
      <c r="H22" s="43" t="str">
        <f>IF(Datos!$G22&gt;0,Datos!$G22-Datos!$E22+1 &amp; " " &amp; Idiomas!$A$29,"")</f>
        <v>7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225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5</v>
      </c>
      <c r="B23" s="95" t="s">
        <v>6</v>
      </c>
      <c r="C23" s="106" t="s">
        <v>245</v>
      </c>
      <c r="D23" s="95" t="s">
        <v>286</v>
      </c>
      <c r="E23" s="111">
        <v>45997</v>
      </c>
      <c r="F23" s="111">
        <v>46003</v>
      </c>
      <c r="G23" s="111">
        <v>46003</v>
      </c>
      <c r="H23" s="45" t="str">
        <f>IF(Datos!$G23&gt;0,Datos!$G23-Datos!$E23+1 &amp; " " &amp; Idiomas!$A$29,"")</f>
        <v>7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225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5</v>
      </c>
      <c r="B24" s="92" t="s">
        <v>6</v>
      </c>
      <c r="C24" s="109" t="s">
        <v>246</v>
      </c>
      <c r="D24" s="92" t="s">
        <v>287</v>
      </c>
      <c r="E24" s="110">
        <v>45997</v>
      </c>
      <c r="F24" s="110">
        <v>46003</v>
      </c>
      <c r="G24" s="110">
        <v>46003</v>
      </c>
      <c r="H24" s="43" t="str">
        <f>IF(Datos!$G24&gt;0,Datos!$G24-Datos!$E24+1 &amp; " " &amp; Idiomas!$A$29,"")</f>
        <v>7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225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5</v>
      </c>
      <c r="B25" s="95" t="s">
        <v>6</v>
      </c>
      <c r="C25" s="106" t="s">
        <v>247</v>
      </c>
      <c r="D25" s="95" t="s">
        <v>288</v>
      </c>
      <c r="E25" s="111">
        <v>45997</v>
      </c>
      <c r="F25" s="111">
        <v>46003</v>
      </c>
      <c r="G25" s="111">
        <v>46003</v>
      </c>
      <c r="H25" s="45" t="str">
        <f>IF(Datos!$G25&gt;0,Datos!$G25-Datos!$E25+1 &amp; " " &amp; Idiomas!$A$29,"")</f>
        <v>7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224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5</v>
      </c>
      <c r="B26" s="92" t="s">
        <v>6</v>
      </c>
      <c r="C26" s="109" t="s">
        <v>248</v>
      </c>
      <c r="D26" s="92" t="s">
        <v>289</v>
      </c>
      <c r="E26" s="110">
        <v>45997</v>
      </c>
      <c r="F26" s="110">
        <v>46003</v>
      </c>
      <c r="G26" s="110">
        <v>46003</v>
      </c>
      <c r="H26" s="43" t="str">
        <f>IF(Datos!$G26&gt;0,Datos!$G26-Datos!$E26+1 &amp; " " &amp; Idiomas!$A$29,"")</f>
        <v>7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224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5</v>
      </c>
      <c r="B27" s="95" t="s">
        <v>8</v>
      </c>
      <c r="C27" s="106" t="s">
        <v>249</v>
      </c>
      <c r="D27" s="95" t="s">
        <v>290</v>
      </c>
      <c r="E27" s="111">
        <v>45997</v>
      </c>
      <c r="F27" s="111">
        <v>46003</v>
      </c>
      <c r="G27" s="111">
        <v>46003</v>
      </c>
      <c r="H27" s="45" t="str">
        <f>IF(Datos!$G27&gt;0,Datos!$G27-Datos!$E27+1 &amp; " " &amp; Idiomas!$A$29,"")</f>
        <v>7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224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5</v>
      </c>
      <c r="B28" s="92" t="s">
        <v>6</v>
      </c>
      <c r="C28" s="109" t="s">
        <v>250</v>
      </c>
      <c r="D28" s="92" t="s">
        <v>291</v>
      </c>
      <c r="E28" s="110">
        <v>45997</v>
      </c>
      <c r="F28" s="110">
        <v>46003</v>
      </c>
      <c r="G28" s="110">
        <v>46003</v>
      </c>
      <c r="H28" s="43" t="str">
        <f>IF(Datos!$G28&gt;0,Datos!$G28-Datos!$E28+1 &amp; " " &amp; Idiomas!$A$29,"")</f>
        <v>7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224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 t="s">
        <v>5</v>
      </c>
      <c r="B29" s="95" t="s">
        <v>6</v>
      </c>
      <c r="C29" s="106" t="s">
        <v>251</v>
      </c>
      <c r="D29" s="95" t="s">
        <v>292</v>
      </c>
      <c r="E29" s="111">
        <v>45997</v>
      </c>
      <c r="F29" s="111">
        <v>46003</v>
      </c>
      <c r="G29" s="111">
        <v>46003</v>
      </c>
      <c r="H29" s="45" t="str">
        <f>IF(Datos!$G29&gt;0,Datos!$G29-Datos!$E29+1 &amp; " " &amp; Idiomas!$A$29,"")</f>
        <v>7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224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25">
      <c r="A30" s="91" t="s">
        <v>5</v>
      </c>
      <c r="B30" s="92" t="s">
        <v>6</v>
      </c>
      <c r="C30" s="109" t="s">
        <v>252</v>
      </c>
      <c r="D30" s="92" t="s">
        <v>293</v>
      </c>
      <c r="E30" s="110">
        <v>45997</v>
      </c>
      <c r="F30" s="110">
        <v>46003</v>
      </c>
      <c r="G30" s="110">
        <v>46003</v>
      </c>
      <c r="H30" s="43" t="str">
        <f>IF(Datos!$G30&gt;0,Datos!$G30-Datos!$E30+1 &amp; " " &amp; Idiomas!$A$29,"")</f>
        <v>7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224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25">
      <c r="A31" s="94" t="s">
        <v>5</v>
      </c>
      <c r="B31" s="95" t="s">
        <v>6</v>
      </c>
      <c r="C31" s="106" t="s">
        <v>253</v>
      </c>
      <c r="D31" s="95" t="s">
        <v>294</v>
      </c>
      <c r="E31" s="111">
        <v>46006</v>
      </c>
      <c r="F31" s="111">
        <v>46012</v>
      </c>
      <c r="G31" s="111">
        <v>46012</v>
      </c>
      <c r="H31" s="45" t="str">
        <f>IF(Datos!$G31&gt;0,Datos!$G31-Datos!$E31+1 &amp; " " &amp; Idiomas!$A$29,"")</f>
        <v>7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223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25">
      <c r="A32" s="91" t="s">
        <v>5</v>
      </c>
      <c r="B32" s="92" t="s">
        <v>6</v>
      </c>
      <c r="C32" s="109" t="s">
        <v>254</v>
      </c>
      <c r="D32" s="92" t="s">
        <v>295</v>
      </c>
      <c r="E32" s="110">
        <v>46006</v>
      </c>
      <c r="F32" s="110">
        <v>46012</v>
      </c>
      <c r="G32" s="110">
        <v>46012</v>
      </c>
      <c r="H32" s="43" t="str">
        <f>IF(Datos!$G32&gt;0,Datos!$G32-Datos!$E32+1 &amp; " " &amp; Idiomas!$A$29,"")</f>
        <v>7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223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25">
      <c r="A33" s="94" t="s">
        <v>5</v>
      </c>
      <c r="B33" s="95" t="s">
        <v>6</v>
      </c>
      <c r="C33" s="106" t="s">
        <v>255</v>
      </c>
      <c r="D33" s="95" t="s">
        <v>296</v>
      </c>
      <c r="E33" s="111">
        <v>46006</v>
      </c>
      <c r="F33" s="111">
        <v>46012</v>
      </c>
      <c r="G33" s="111">
        <v>46012</v>
      </c>
      <c r="H33" s="45" t="str">
        <f>IF(Datos!$G33&gt;0,Datos!$G33-Datos!$E33+1 &amp; " " &amp; Idiomas!$A$29,"")</f>
        <v>7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223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25">
      <c r="A34" s="91" t="s">
        <v>5</v>
      </c>
      <c r="B34" s="92" t="s">
        <v>6</v>
      </c>
      <c r="C34" s="109" t="s">
        <v>256</v>
      </c>
      <c r="D34" s="92" t="s">
        <v>297</v>
      </c>
      <c r="E34" s="110">
        <v>46006</v>
      </c>
      <c r="F34" s="110">
        <v>46012</v>
      </c>
      <c r="G34" s="110">
        <v>46012</v>
      </c>
      <c r="H34" s="43" t="str">
        <f>IF(Datos!$G34&gt;0,Datos!$G34-Datos!$E34+1 &amp; " " &amp; Idiomas!$A$29,"")</f>
        <v>7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223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25">
      <c r="A35" s="94" t="s">
        <v>5</v>
      </c>
      <c r="B35" s="95" t="s">
        <v>6</v>
      </c>
      <c r="C35" s="106" t="s">
        <v>257</v>
      </c>
      <c r="D35" s="95" t="s">
        <v>298</v>
      </c>
      <c r="E35" s="111">
        <v>46006</v>
      </c>
      <c r="F35" s="111">
        <v>46012</v>
      </c>
      <c r="G35" s="111">
        <v>46012</v>
      </c>
      <c r="H35" s="45" t="str">
        <f>IF(Datos!$G35&gt;0,Datos!$G35-Datos!$E35+1 &amp; " " &amp; Idiomas!$A$29,"")</f>
        <v>7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223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25">
      <c r="A36" s="91" t="s">
        <v>5</v>
      </c>
      <c r="B36" s="92" t="s">
        <v>8</v>
      </c>
      <c r="C36" s="109" t="s">
        <v>258</v>
      </c>
      <c r="D36" s="92" t="s">
        <v>299</v>
      </c>
      <c r="E36" s="110">
        <v>46006</v>
      </c>
      <c r="F36" s="110">
        <v>46012</v>
      </c>
      <c r="G36" s="110">
        <v>46012</v>
      </c>
      <c r="H36" s="43" t="str">
        <f>IF(Datos!$G36&gt;0,Datos!$G36-Datos!$E36+1 &amp; " " &amp; Idiomas!$A$29,"")</f>
        <v>7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223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25">
      <c r="A37" s="94" t="s">
        <v>5</v>
      </c>
      <c r="B37" s="95" t="s">
        <v>6</v>
      </c>
      <c r="C37" s="106" t="s">
        <v>259</v>
      </c>
      <c r="D37" s="95" t="s">
        <v>311</v>
      </c>
      <c r="E37" s="111">
        <v>46013</v>
      </c>
      <c r="F37" s="111">
        <v>46028</v>
      </c>
      <c r="G37" s="111">
        <v>46028</v>
      </c>
      <c r="H37" s="45" t="str">
        <f>IF(Datos!$G37&gt;0,Datos!$G37-Datos!$E37+1 &amp; " " &amp; Idiomas!$A$29,"")</f>
        <v>16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227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25">
      <c r="A38" s="91" t="s">
        <v>5</v>
      </c>
      <c r="B38" s="92" t="s">
        <v>3</v>
      </c>
      <c r="C38" s="109" t="s">
        <v>260</v>
      </c>
      <c r="D38" s="92" t="s">
        <v>312</v>
      </c>
      <c r="E38" s="110">
        <v>46013</v>
      </c>
      <c r="F38" s="110">
        <v>46018</v>
      </c>
      <c r="G38" s="110">
        <v>46018</v>
      </c>
      <c r="H38" s="43" t="str">
        <f>IF(Datos!$G38&gt;0,Datos!$G38-Datos!$E38+1 &amp; " " &amp; Idiomas!$A$29,"")</f>
        <v>6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224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25">
      <c r="A39" s="94" t="s">
        <v>5</v>
      </c>
      <c r="B39" s="95" t="s">
        <v>8</v>
      </c>
      <c r="C39" s="106" t="s">
        <v>261</v>
      </c>
      <c r="D39" s="95" t="s">
        <v>313</v>
      </c>
      <c r="E39" s="111">
        <v>46013</v>
      </c>
      <c r="F39" s="111">
        <v>46018</v>
      </c>
      <c r="G39" s="111">
        <v>46018</v>
      </c>
      <c r="H39" s="45" t="str">
        <f>IF(Datos!$G39&gt;0,Datos!$G39-Datos!$E39+1 &amp; " " &amp; Idiomas!$A$29,"")</f>
        <v>6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224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25">
      <c r="A40" s="91" t="s">
        <v>5</v>
      </c>
      <c r="B40" s="92" t="s">
        <v>6</v>
      </c>
      <c r="C40" s="109" t="s">
        <v>262</v>
      </c>
      <c r="D40" s="92" t="s">
        <v>314</v>
      </c>
      <c r="E40" s="110">
        <v>46013</v>
      </c>
      <c r="F40" s="110">
        <v>46018</v>
      </c>
      <c r="G40" s="110">
        <v>46018</v>
      </c>
      <c r="H40" s="43" t="str">
        <f>IF(Datos!$G40&gt;0,Datos!$G40-Datos!$E40+1 &amp; " " &amp; Idiomas!$A$29,"")</f>
        <v>6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224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25">
      <c r="A41" s="94" t="s">
        <v>5</v>
      </c>
      <c r="B41" s="95" t="s">
        <v>6</v>
      </c>
      <c r="C41" s="106" t="s">
        <v>263</v>
      </c>
      <c r="D41" s="95" t="s">
        <v>315</v>
      </c>
      <c r="E41" s="111">
        <v>46013</v>
      </c>
      <c r="F41" s="111">
        <v>46018</v>
      </c>
      <c r="G41" s="111">
        <v>46018</v>
      </c>
      <c r="H41" s="45" t="str">
        <f>IF(Datos!$G41&gt;0,Datos!$G41-Datos!$E41+1 &amp; " " &amp; Idiomas!$A$29,"")</f>
        <v>6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224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25">
      <c r="A42" s="91" t="s">
        <v>5</v>
      </c>
      <c r="B42" s="92" t="s">
        <v>3</v>
      </c>
      <c r="C42" s="109" t="s">
        <v>264</v>
      </c>
      <c r="D42" s="92" t="s">
        <v>316</v>
      </c>
      <c r="E42" s="110">
        <v>46013</v>
      </c>
      <c r="F42" s="110">
        <v>46018</v>
      </c>
      <c r="G42" s="110">
        <v>46018</v>
      </c>
      <c r="H42" s="43" t="str">
        <f>IF(Datos!$G42&gt;0,Datos!$G42-Datos!$E42+1 &amp; " " &amp; Idiomas!$A$29,"")</f>
        <v>6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224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25">
      <c r="A43" s="94" t="s">
        <v>5</v>
      </c>
      <c r="B43" s="95" t="s">
        <v>6</v>
      </c>
      <c r="C43" s="95" t="s">
        <v>300</v>
      </c>
      <c r="D43" s="95" t="s">
        <v>317</v>
      </c>
      <c r="E43" s="96">
        <v>46014</v>
      </c>
      <c r="F43" s="96">
        <v>46022</v>
      </c>
      <c r="G43" s="96">
        <v>46022</v>
      </c>
      <c r="H43" s="45" t="str">
        <f>IF(Datos!$G43&gt;0,Datos!$G43-Datos!$E43+1 &amp; " " &amp; Idiomas!$A$29,"")</f>
        <v>9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223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25">
      <c r="A44" s="91" t="s">
        <v>5</v>
      </c>
      <c r="B44" s="92" t="s">
        <v>8</v>
      </c>
      <c r="C44" s="92" t="s">
        <v>301</v>
      </c>
      <c r="D44" s="92" t="s">
        <v>318</v>
      </c>
      <c r="E44" s="93">
        <v>46014</v>
      </c>
      <c r="F44" s="93">
        <v>46022</v>
      </c>
      <c r="G44" s="93">
        <v>46022</v>
      </c>
      <c r="H44" s="43" t="str">
        <f>IF(Datos!$G44&gt;0,Datos!$G44-Datos!$E44+1 &amp; " " &amp; Idiomas!$A$29,"")</f>
        <v>9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223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25">
      <c r="A45" s="94" t="s">
        <v>5</v>
      </c>
      <c r="B45" s="95" t="s">
        <v>3</v>
      </c>
      <c r="C45" s="95" t="s">
        <v>302</v>
      </c>
      <c r="D45" s="95" t="s">
        <v>319</v>
      </c>
      <c r="E45" s="96">
        <v>46014</v>
      </c>
      <c r="F45" s="96">
        <v>46022</v>
      </c>
      <c r="G45" s="96">
        <v>46022</v>
      </c>
      <c r="H45" s="45" t="str">
        <f>IF(Datos!$G45&gt;0,Datos!$G45-Datos!$E45+1 &amp; " " &amp; Idiomas!$A$29,"")</f>
        <v>9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223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25">
      <c r="A46" s="91" t="s">
        <v>5</v>
      </c>
      <c r="B46" s="92" t="s">
        <v>6</v>
      </c>
      <c r="C46" s="92" t="s">
        <v>303</v>
      </c>
      <c r="D46" s="92" t="s">
        <v>320</v>
      </c>
      <c r="E46" s="93">
        <v>46014</v>
      </c>
      <c r="F46" s="93">
        <v>46022</v>
      </c>
      <c r="G46" s="93">
        <v>46022</v>
      </c>
      <c r="H46" s="43" t="str">
        <f>IF(Datos!$G46&gt;0,Datos!$G46-Datos!$E46+1 &amp; " " &amp; Idiomas!$A$29,"")</f>
        <v>9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223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25">
      <c r="A47" s="94" t="s">
        <v>5</v>
      </c>
      <c r="B47" s="95" t="s">
        <v>8</v>
      </c>
      <c r="C47" s="95" t="s">
        <v>304</v>
      </c>
      <c r="D47" s="95" t="s">
        <v>321</v>
      </c>
      <c r="E47" s="96">
        <v>46014</v>
      </c>
      <c r="F47" s="96">
        <v>46022</v>
      </c>
      <c r="G47" s="96">
        <v>46022</v>
      </c>
      <c r="H47" s="45" t="str">
        <f>IF(Datos!$G47&gt;0,Datos!$G47-Datos!$E47+1 &amp; " " &amp; Idiomas!$A$29,"")</f>
        <v>9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223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25">
      <c r="A48" s="91" t="s">
        <v>5</v>
      </c>
      <c r="B48" s="92" t="s">
        <v>8</v>
      </c>
      <c r="C48" s="92" t="s">
        <v>305</v>
      </c>
      <c r="D48" s="92" t="s">
        <v>322</v>
      </c>
      <c r="E48" s="93">
        <v>46014</v>
      </c>
      <c r="F48" s="93">
        <v>46022</v>
      </c>
      <c r="G48" s="93">
        <v>46022</v>
      </c>
      <c r="H48" s="43" t="str">
        <f>IF(Datos!$G48&gt;0,Datos!$G48-Datos!$E48+1 &amp; " " &amp; Idiomas!$A$29,"")</f>
        <v>9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223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25">
      <c r="A49" s="94" t="s">
        <v>5</v>
      </c>
      <c r="B49" s="95" t="s">
        <v>6</v>
      </c>
      <c r="C49" s="95" t="s">
        <v>323</v>
      </c>
      <c r="D49" s="95" t="s">
        <v>324</v>
      </c>
      <c r="E49" s="96">
        <v>46023</v>
      </c>
      <c r="F49" s="96">
        <v>46028</v>
      </c>
      <c r="G49" s="96">
        <v>46028</v>
      </c>
      <c r="H49" s="45" t="str">
        <f>IF(Datos!$G49&gt;0,Datos!$G49-Datos!$E49+1 &amp; " " &amp; Idiomas!$A$29,"")</f>
        <v>6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225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25">
      <c r="A50" s="91" t="s">
        <v>5</v>
      </c>
      <c r="B50" s="92" t="s">
        <v>8</v>
      </c>
      <c r="C50" s="92" t="s">
        <v>306</v>
      </c>
      <c r="D50" s="92" t="s">
        <v>325</v>
      </c>
      <c r="E50" s="93">
        <v>46023</v>
      </c>
      <c r="F50" s="93">
        <v>46028</v>
      </c>
      <c r="G50" s="93">
        <v>46028</v>
      </c>
      <c r="H50" s="43" t="str">
        <f>IF(Datos!$G50&gt;0,Datos!$G50-Datos!$E50+1 &amp; " " &amp; Idiomas!$A$29,"")</f>
        <v>6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225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25">
      <c r="A51" s="94" t="s">
        <v>5</v>
      </c>
      <c r="B51" s="95" t="s">
        <v>3</v>
      </c>
      <c r="C51" s="95" t="s">
        <v>307</v>
      </c>
      <c r="D51" s="95" t="s">
        <v>326</v>
      </c>
      <c r="E51" s="96">
        <v>46023</v>
      </c>
      <c r="F51" s="96">
        <v>46028</v>
      </c>
      <c r="G51" s="96">
        <v>46028</v>
      </c>
      <c r="H51" s="45" t="str">
        <f>IF(Datos!$G51&gt;0,Datos!$G51-Datos!$E51+1 &amp; " " &amp; Idiomas!$A$29,"")</f>
        <v>6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225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25">
      <c r="A52" s="91" t="s">
        <v>5</v>
      </c>
      <c r="B52" s="92" t="s">
        <v>8</v>
      </c>
      <c r="C52" s="92" t="s">
        <v>308</v>
      </c>
      <c r="D52" s="92" t="s">
        <v>327</v>
      </c>
      <c r="E52" s="93">
        <v>46023</v>
      </c>
      <c r="F52" s="93">
        <v>46028</v>
      </c>
      <c r="G52" s="93">
        <v>46028</v>
      </c>
      <c r="H52" s="43" t="str">
        <f>IF(Datos!$G52&gt;0,Datos!$G52-Datos!$E52+1 &amp; " " &amp; Idiomas!$A$29,"")</f>
        <v>6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225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25">
      <c r="A53" s="94" t="s">
        <v>5</v>
      </c>
      <c r="B53" s="95" t="s">
        <v>3</v>
      </c>
      <c r="C53" s="95" t="s">
        <v>309</v>
      </c>
      <c r="D53" s="95" t="s">
        <v>328</v>
      </c>
      <c r="E53" s="96">
        <v>46023</v>
      </c>
      <c r="F53" s="96">
        <v>46028</v>
      </c>
      <c r="G53" s="96">
        <v>46028</v>
      </c>
      <c r="H53" s="45" t="str">
        <f>IF(Datos!$G53&gt;0,Datos!$G53-Datos!$E53+1 &amp; " " &amp; Idiomas!$A$29,"")</f>
        <v>6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225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25">
      <c r="A54" s="91" t="s">
        <v>5</v>
      </c>
      <c r="B54" s="92" t="s">
        <v>3</v>
      </c>
      <c r="C54" s="92" t="s">
        <v>310</v>
      </c>
      <c r="D54" s="92" t="s">
        <v>329</v>
      </c>
      <c r="E54" s="93">
        <v>46023</v>
      </c>
      <c r="F54" s="93">
        <v>46028</v>
      </c>
      <c r="G54" s="93">
        <v>46028</v>
      </c>
      <c r="H54" s="43" t="str">
        <f>IF(Datos!$G54&gt;0,Datos!$G54-Datos!$E54+1 &amp; " " &amp; Idiomas!$A$29,"")</f>
        <v>6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225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25">
      <c r="A55" s="94" t="s">
        <v>5</v>
      </c>
      <c r="B55" s="95" t="s">
        <v>8</v>
      </c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25">
      <c r="A56" s="91" t="s">
        <v>5</v>
      </c>
      <c r="B56" s="92" t="s">
        <v>6</v>
      </c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25">
      <c r="A57" s="94" t="s">
        <v>5</v>
      </c>
      <c r="B57" s="95" t="s">
        <v>6</v>
      </c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25">
      <c r="A58" s="91" t="s">
        <v>5</v>
      </c>
      <c r="B58" s="92" t="s">
        <v>6</v>
      </c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25">
      <c r="A59" s="94" t="s">
        <v>9</v>
      </c>
      <c r="B59" s="95" t="s">
        <v>6</v>
      </c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25">
      <c r="A60" s="91" t="s">
        <v>9</v>
      </c>
      <c r="B60" s="92" t="s">
        <v>6</v>
      </c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9" sqref="F9:F14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13</v>
      </c>
      <c r="F3" s="120" t="s">
        <v>14</v>
      </c>
      <c r="G3" s="120"/>
      <c r="H3" s="120"/>
    </row>
    <row r="4" spans="2:9" x14ac:dyDescent="0.25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223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224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225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226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 t="s">
        <v>227</v>
      </c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 t="s">
        <v>222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21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3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3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1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R-195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R-195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R195:R202</v>
      </c>
    </row>
    <row r="39" spans="1:16" ht="16.5" thickTop="1" thickBot="1" x14ac:dyDescent="0.3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3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R-186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R-186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R186:R193</v>
      </c>
    </row>
    <row r="40" spans="1:16" ht="16.5" thickTop="1" thickBot="1" x14ac:dyDescent="0.3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1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R-177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R-177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R177:R184</v>
      </c>
    </row>
    <row r="41" spans="1:16" ht="16.5" thickTop="1" thickBot="1" x14ac:dyDescent="0.3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1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R-168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R-168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R168:R175</v>
      </c>
    </row>
    <row r="42" spans="1:16" ht="16.5" thickTop="1" thickBot="1" x14ac:dyDescent="0.3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R-159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R-159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R159:R166</v>
      </c>
    </row>
    <row r="43" spans="1:16" ht="16.5" thickTop="1" thickBot="1" x14ac:dyDescent="0.3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1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R-150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R-150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R150:R157</v>
      </c>
    </row>
    <row r="44" spans="1:16" ht="16.5" thickTop="1" thickBot="1" x14ac:dyDescent="0.3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3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R-141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R-141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R141:R148</v>
      </c>
    </row>
    <row r="45" spans="1:16" ht="16.5" thickTop="1" thickBot="1" x14ac:dyDescent="0.3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2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R-132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R-132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R132:R139</v>
      </c>
    </row>
    <row r="46" spans="1:16" ht="16.5" thickTop="1" thickBot="1" x14ac:dyDescent="0.3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1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R-123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R-123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R123:R130</v>
      </c>
    </row>
    <row r="47" spans="1:16" ht="16.5" thickTop="1" thickBot="1" x14ac:dyDescent="0.3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3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R-114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R-114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R114:R121</v>
      </c>
    </row>
    <row r="48" spans="1:16" ht="16.5" thickTop="1" thickBot="1" x14ac:dyDescent="0.3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3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R-105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R-105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R105:R112</v>
      </c>
    </row>
    <row r="49" spans="1:16" ht="16.5" thickTop="1" thickBot="1" x14ac:dyDescent="0.3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1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R-96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R-96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R96:R103</v>
      </c>
    </row>
    <row r="50" spans="1:16" ht="16.5" thickTop="1" thickBot="1" x14ac:dyDescent="0.3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3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>R-87</v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R-87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R87:R94</v>
      </c>
    </row>
    <row r="51" spans="1:16" ht="16.5" thickTop="1" thickBot="1" x14ac:dyDescent="0.3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2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>R-78</v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R-78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R78:R85</v>
      </c>
    </row>
    <row r="52" spans="1:16" ht="16.5" thickTop="1" thickBot="1" x14ac:dyDescent="0.3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3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R-69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R-69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R69:R76</v>
      </c>
    </row>
    <row r="53" spans="1:16" ht="16.5" thickTop="1" thickBot="1" x14ac:dyDescent="0.3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2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>R-60</v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R-60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R60:R67</v>
      </c>
    </row>
    <row r="54" spans="1:16" ht="16.5" thickTop="1" thickBot="1" x14ac:dyDescent="0.3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2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R-51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R-51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R51:R58</v>
      </c>
    </row>
    <row r="55" spans="1:16" ht="16.5" thickTop="1" thickBot="1" x14ac:dyDescent="0.3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3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R-42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R-42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R42:R49</v>
      </c>
    </row>
    <row r="56" spans="1:16" ht="16.5" thickTop="1" thickBot="1" x14ac:dyDescent="0.3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1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R-33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R-33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R33:R40</v>
      </c>
    </row>
    <row r="57" spans="1:16" ht="16.5" thickTop="1" thickBot="1" x14ac:dyDescent="0.3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1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R-24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R-24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R24:R31</v>
      </c>
    </row>
    <row r="58" spans="1:16" ht="16.5" thickTop="1" thickBot="1" x14ac:dyDescent="0.3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1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R-15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R-15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R15:R22</v>
      </c>
    </row>
    <row r="59" spans="1:16" ht="16.5" thickTop="1" thickBot="1" x14ac:dyDescent="0.3">
      <c r="A59" s="56" t="str">
        <f>IFERROR(IF(Datos!$A59="","",Idiomas!$A$12&amp;" "&amp;ROW()-1),"")</f>
        <v>Tarea 58</v>
      </c>
      <c r="B59" s="57">
        <f>IFERROR(MATCH(Datos!$A59,Configura!$B$9:$B$18,0),0)</f>
        <v>1</v>
      </c>
      <c r="C59" s="57">
        <f>IFERROR(MATCH(Datos!$B59,Configura!$D$9:$D$11,0),0)</f>
        <v>1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>C-15</v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C-15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C15:C22</v>
      </c>
    </row>
    <row r="60" spans="1:16" ht="16.5" thickTop="1" thickBot="1" x14ac:dyDescent="0.3">
      <c r="A60" s="52" t="str">
        <f>IFERROR(IF(Datos!$A60="","",Idiomas!$A$12&amp;" "&amp;ROW()-1),"")</f>
        <v>Tarea 59</v>
      </c>
      <c r="B60" s="53">
        <f>IFERROR(MATCH(Datos!$A60,Configura!$B$9:$B$18,0),0)</f>
        <v>1</v>
      </c>
      <c r="C60" s="53">
        <f>IFERROR(MATCH(Datos!$B60,Configura!$D$9:$D$11,0),0)</f>
        <v>1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>C-6</v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C-6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C6:C13</v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59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59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59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59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59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59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59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59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59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58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1-1</v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57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>
        <f t="shared" ca="1" si="0"/>
        <v>58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1-2</v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57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>
        <f t="shared" ca="1" si="0"/>
        <v>58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1-3</v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57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>
        <f t="shared" ca="1" si="0"/>
        <v>58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1-4</v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57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>
        <f t="shared" ca="1" si="0"/>
        <v>58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1-5</v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57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>
        <f t="shared" ca="1" si="0"/>
        <v>58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1-6</v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57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2</v>
      </c>
      <c r="D18" s="20">
        <f t="shared" ca="1" si="0"/>
        <v>58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1-7</v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57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2</v>
      </c>
      <c r="D19" s="20">
        <f t="shared" ca="1" si="0"/>
        <v>58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1-8</v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57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2</v>
      </c>
      <c r="D20" s="20">
        <f t="shared" ca="1" si="0"/>
        <v>58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57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56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56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56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56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56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56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56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56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56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55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55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55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55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55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55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55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55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54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54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53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53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53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53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>
        <f ca="1"/>
        <v>58</v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52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>
        <f ca="1"/>
        <v>59</v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52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52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52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52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52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52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50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50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50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50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50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50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50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50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50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49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49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49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49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49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49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49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49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49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48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48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48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48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48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48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48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48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48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45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45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45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45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45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45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45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45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45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40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40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40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40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40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40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40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40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40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39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39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39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39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39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39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39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39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39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38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3-1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38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3-2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38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3-3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38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3-4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38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3-5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38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3-6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38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3-7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38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3-8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38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37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37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37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37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37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37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37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ialejosilvaec@outlook.com</cp:lastModifiedBy>
  <cp:revision>0</cp:revision>
  <dcterms:created xsi:type="dcterms:W3CDTF">2022-12-26T11:27:14Z</dcterms:created>
  <dcterms:modified xsi:type="dcterms:W3CDTF">2026-01-16T15:44:12Z</dcterms:modified>
  <cp:category/>
  <cp:contentStatus/>
</cp:coreProperties>
</file>