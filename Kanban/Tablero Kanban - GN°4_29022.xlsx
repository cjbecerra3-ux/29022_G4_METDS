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59399\Desktop\"/>
    </mc:Choice>
  </mc:AlternateContent>
  <xr:revisionPtr revIDLastSave="0" documentId="8_{97EFCAC8-D225-4CD7-A3FA-BFF35D6E58AF}" xr6:coauthVersionLast="47" xr6:coauthVersionMax="47" xr10:uidLastSave="{00000000-0000-0000-0000-000000000000}"/>
  <workbookProtection lockStructure="1"/>
  <bookViews>
    <workbookView xWindow="-120" yWindow="-120" windowWidth="20730" windowHeight="11160" firstSheet="1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A61" i="5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I61" i="2" l="1" a="1"/>
  <c r="I61" i="2" s="1"/>
  <c r="H61" i="2"/>
  <c r="H58" i="2"/>
  <c r="H52" i="2"/>
  <c r="I57" i="2" a="1"/>
  <c r="I57" i="2" s="1"/>
  <c r="I51" i="2" a="1"/>
  <c r="I51" i="2" s="1"/>
  <c r="H57" i="2"/>
  <c r="H51" i="2"/>
  <c r="I56" i="2" a="1"/>
  <c r="I56" i="2" s="1"/>
  <c r="H55" i="2"/>
  <c r="I54" i="2" a="1"/>
  <c r="I54" i="2" s="1"/>
  <c r="H54" i="2"/>
  <c r="H59" i="2"/>
  <c r="I58" i="2" a="1"/>
  <c r="I58" i="2" s="1"/>
  <c r="H56" i="2"/>
  <c r="I55" i="2" a="1"/>
  <c r="I55" i="2" s="1"/>
  <c r="I60" i="2" a="1"/>
  <c r="I60" i="2" s="1"/>
  <c r="H60" i="2"/>
  <c r="I59" i="2" a="1"/>
  <c r="I59" i="2" s="1"/>
  <c r="H53" i="2"/>
  <c r="I52" i="2" a="1"/>
  <c r="I52" i="2" s="1"/>
  <c r="I53" i="2" a="1"/>
  <c r="I53" i="2" s="1"/>
  <c r="A58" i="5"/>
  <c r="A59" i="5"/>
  <c r="A60" i="5"/>
  <c r="A53" i="5"/>
  <c r="A54" i="5"/>
  <c r="A55" i="5"/>
  <c r="A56" i="5"/>
  <c r="A57" i="5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53" i="5" l="1" a="1"/>
  <c r="D53" i="5" s="1"/>
  <c r="D58" i="5" a="1"/>
  <c r="D58" i="5" s="1"/>
  <c r="D61" i="5" a="1"/>
  <c r="D61" i="5" s="1"/>
  <c r="D54" i="5" a="1"/>
  <c r="D54" i="5" s="1"/>
  <c r="D51" i="5" a="1"/>
  <c r="D51" i="5" s="1"/>
  <c r="D57" i="5" a="1"/>
  <c r="D57" i="5" s="1"/>
  <c r="D60" i="5" a="1"/>
  <c r="D60" i="5" s="1"/>
  <c r="D59" i="5" a="1"/>
  <c r="D59" i="5" s="1"/>
  <c r="D55" i="5" a="1"/>
  <c r="D5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57" i="5"/>
  <c r="G81" i="5"/>
  <c r="G20" i="5"/>
  <c r="G2" i="5"/>
  <c r="G92" i="5"/>
  <c r="G9" i="5"/>
  <c r="G88" i="5"/>
  <c r="G86" i="5"/>
  <c r="G11" i="5"/>
  <c r="G90" i="5"/>
  <c r="G78" i="5"/>
  <c r="G28" i="5"/>
  <c r="G39" i="5"/>
  <c r="G83" i="5"/>
  <c r="G87" i="5"/>
  <c r="G7" i="5"/>
  <c r="G70" i="5"/>
  <c r="G98" i="5"/>
  <c r="G53" i="5"/>
  <c r="G47" i="5"/>
  <c r="G35" i="5"/>
  <c r="G77" i="5"/>
  <c r="G40" i="5"/>
  <c r="G56" i="5"/>
  <c r="G97" i="5"/>
  <c r="G65" i="5"/>
  <c r="G91" i="5"/>
  <c r="G4" i="5"/>
  <c r="G101" i="5"/>
  <c r="G36" i="5"/>
  <c r="G42" i="5"/>
  <c r="G23" i="5"/>
  <c r="G64" i="5"/>
  <c r="G93" i="5"/>
  <c r="G59" i="5"/>
  <c r="G51" i="5"/>
  <c r="G12" i="5"/>
  <c r="G48" i="5"/>
  <c r="G15" i="5"/>
  <c r="G33" i="5"/>
  <c r="G73" i="5"/>
  <c r="G80" i="5"/>
  <c r="G37" i="5"/>
  <c r="G29" i="5"/>
  <c r="G71" i="5"/>
  <c r="G14" i="5"/>
  <c r="G75" i="5"/>
  <c r="G68" i="5"/>
  <c r="G52" i="5"/>
  <c r="G8" i="5"/>
  <c r="G27" i="5"/>
  <c r="G67" i="5"/>
  <c r="G31" i="5"/>
  <c r="G79" i="5"/>
  <c r="G30" i="5"/>
  <c r="G49" i="5"/>
  <c r="G13" i="5"/>
  <c r="G74" i="5"/>
  <c r="G43" i="5"/>
  <c r="G22" i="5"/>
  <c r="G72" i="5"/>
  <c r="G85" i="5"/>
  <c r="G6" i="5"/>
  <c r="G18" i="5"/>
  <c r="G58" i="5"/>
  <c r="G32" i="5"/>
  <c r="G60" i="5"/>
  <c r="G34" i="5"/>
  <c r="G26" i="5"/>
  <c r="G82" i="5"/>
  <c r="G94" i="5"/>
  <c r="G17" i="5"/>
  <c r="G16" i="5"/>
  <c r="G100" i="5"/>
  <c r="G19" i="5"/>
  <c r="G63" i="5"/>
  <c r="G66" i="5"/>
  <c r="G69" i="5"/>
  <c r="G76" i="5"/>
  <c r="G41" i="5"/>
  <c r="G89" i="5"/>
  <c r="G25" i="5"/>
  <c r="G96" i="5"/>
  <c r="G5" i="5"/>
  <c r="G95" i="5"/>
  <c r="G99" i="5"/>
  <c r="G38" i="5"/>
  <c r="G10" i="5"/>
  <c r="G54" i="5"/>
  <c r="G50" i="5"/>
  <c r="G3" i="5"/>
  <c r="G55" i="5"/>
  <c r="G21" i="5"/>
  <c r="G62" i="5"/>
  <c r="G44" i="5"/>
  <c r="G61" i="5"/>
  <c r="G46" i="5"/>
  <c r="G24" i="5"/>
  <c r="G84" i="5"/>
  <c r="G45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E41" i="5"/>
  <c r="M86" i="5"/>
  <c r="E14" i="5"/>
  <c r="E70" i="5"/>
  <c r="E95" i="5"/>
  <c r="E82" i="5"/>
  <c r="E67" i="5"/>
  <c r="M39" i="5"/>
  <c r="M70" i="5"/>
  <c r="M2" i="5"/>
  <c r="N83" i="5"/>
  <c r="M27" i="5"/>
  <c r="N55" i="5"/>
  <c r="M53" i="5"/>
  <c r="N50" i="5"/>
  <c r="N34" i="5"/>
  <c r="N74" i="5"/>
  <c r="N13" i="5"/>
  <c r="M68" i="5"/>
  <c r="N7" i="5"/>
  <c r="N84" i="5"/>
  <c r="E64" i="5"/>
  <c r="N92" i="5"/>
  <c r="M73" i="5"/>
  <c r="N94" i="5"/>
  <c r="N18" i="5"/>
  <c r="N82" i="5"/>
  <c r="N57" i="5"/>
  <c r="M72" i="5"/>
  <c r="E46" i="5"/>
  <c r="M62" i="5"/>
  <c r="E18" i="5"/>
  <c r="E15" i="5"/>
  <c r="E63" i="5"/>
  <c r="E98" i="5"/>
  <c r="E92" i="5"/>
  <c r="N64" i="5"/>
  <c r="M56" i="5"/>
  <c r="M94" i="5"/>
  <c r="M40" i="5"/>
  <c r="M93" i="5"/>
  <c r="M90" i="5"/>
  <c r="E84" i="5"/>
  <c r="E33" i="5"/>
  <c r="M7" i="5"/>
  <c r="N78" i="5"/>
  <c r="E68" i="5"/>
  <c r="M23" i="5"/>
  <c r="E29" i="5"/>
  <c r="M31" i="5"/>
  <c r="N10" i="5"/>
  <c r="E87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N15" i="5"/>
  <c r="M13" i="5"/>
  <c r="M33" i="5"/>
  <c r="E49" i="5"/>
  <c r="N46" i="5"/>
  <c r="M52" i="5"/>
  <c r="E83" i="5"/>
  <c r="M38" i="5"/>
  <c r="E90" i="5"/>
  <c r="N33" i="5"/>
  <c r="M57" i="5"/>
  <c r="N30" i="5"/>
  <c r="N36" i="5"/>
  <c r="M44" i="5"/>
  <c r="M6" i="5"/>
  <c r="N49" i="5"/>
  <c r="M29" i="5"/>
  <c r="M54" i="5"/>
  <c r="E40" i="5"/>
  <c r="M34" i="5"/>
  <c r="N35" i="5"/>
  <c r="N17" i="5"/>
  <c r="N42" i="5"/>
  <c r="E35" i="5"/>
  <c r="N32" i="5"/>
  <c r="M50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M18" i="5"/>
  <c r="E52" i="5"/>
  <c r="E101" i="5"/>
  <c r="E80" i="5"/>
  <c r="M64" i="5"/>
  <c r="N75" i="5"/>
  <c r="E71" i="5"/>
  <c r="M51" i="5"/>
  <c r="N100" i="5"/>
  <c r="J52" i="5"/>
  <c r="E86" i="5"/>
  <c r="E62" i="5"/>
  <c r="E57" i="5"/>
  <c r="N87" i="5"/>
  <c r="N6" i="5"/>
  <c r="J39" i="5"/>
  <c r="N39" i="5"/>
  <c r="M100" i="5"/>
  <c r="N60" i="5"/>
  <c r="E74" i="5"/>
  <c r="M55" i="5"/>
  <c r="E96" i="5"/>
  <c r="N67" i="5"/>
  <c r="N38" i="5"/>
  <c r="E47" i="5"/>
  <c r="N58" i="5"/>
  <c r="M48" i="5"/>
  <c r="N56" i="5"/>
  <c r="N51" i="5"/>
  <c r="N37" i="5"/>
  <c r="N21" i="5"/>
  <c r="J11" i="5"/>
  <c r="M91" i="5"/>
  <c r="M35" i="5"/>
  <c r="M25" i="5"/>
  <c r="M3" i="5"/>
  <c r="N65" i="5"/>
  <c r="M81" i="5"/>
  <c r="M79" i="5"/>
  <c r="N70" i="5"/>
  <c r="N4" i="5"/>
  <c r="M37" i="5"/>
  <c r="N14" i="5"/>
  <c r="M87" i="5"/>
  <c r="E36" i="5"/>
  <c r="E3" i="5"/>
  <c r="E42" i="5"/>
  <c r="M83" i="5"/>
  <c r="N44" i="5"/>
  <c r="N97" i="5"/>
  <c r="L48" i="5"/>
  <c r="J55" i="5"/>
  <c r="M89" i="5"/>
  <c r="E72" i="5"/>
  <c r="E44" i="5"/>
  <c r="E48" i="5"/>
  <c r="N22" i="5"/>
  <c r="E43" i="5"/>
  <c r="M16" i="5"/>
  <c r="E13" i="5"/>
  <c r="E51" i="5"/>
  <c r="E77" i="5"/>
  <c r="J42" i="5"/>
  <c r="J58" i="5"/>
  <c r="J25" i="5"/>
  <c r="L36" i="5"/>
  <c r="J60" i="5"/>
  <c r="L8" i="5"/>
  <c r="J99" i="5"/>
  <c r="J4" i="5"/>
  <c r="J85" i="5"/>
  <c r="J63" i="5"/>
  <c r="J62" i="5"/>
  <c r="L82" i="5"/>
  <c r="J31" i="5"/>
  <c r="K32" i="5"/>
  <c r="K18" i="5"/>
  <c r="K12" i="5"/>
  <c r="L49" i="5"/>
  <c r="J79" i="5"/>
  <c r="K49" i="5"/>
  <c r="K68" i="5"/>
  <c r="K40" i="5"/>
  <c r="J23" i="5"/>
  <c r="K74" i="5"/>
  <c r="K89" i="5"/>
  <c r="K22" i="5"/>
  <c r="J26" i="5"/>
  <c r="J12" i="5"/>
  <c r="J16" i="5"/>
  <c r="L84" i="5"/>
  <c r="J57" i="5"/>
  <c r="J81" i="5"/>
  <c r="J2" i="5"/>
  <c r="L40" i="5"/>
  <c r="K37" i="5"/>
  <c r="K80" i="5"/>
  <c r="K70" i="5"/>
  <c r="L61" i="5"/>
  <c r="J53" i="5"/>
  <c r="K65" i="5"/>
  <c r="K97" i="5"/>
  <c r="L47" i="5"/>
  <c r="L83" i="5"/>
  <c r="L69" i="5"/>
  <c r="J93" i="5"/>
  <c r="L4" i="5"/>
  <c r="J19" i="5"/>
  <c r="L89" i="5"/>
  <c r="J5" i="5"/>
  <c r="K83" i="5"/>
  <c r="K21" i="5"/>
  <c r="K20" i="5"/>
  <c r="L92" i="5"/>
  <c r="J84" i="5"/>
  <c r="K48" i="5"/>
  <c r="J56" i="5"/>
  <c r="K67" i="5"/>
  <c r="L2" i="5"/>
  <c r="L12" i="5"/>
  <c r="L13" i="5"/>
  <c r="K59" i="5"/>
  <c r="M26" i="5"/>
  <c r="E11" i="5"/>
  <c r="M67" i="5"/>
  <c r="M82" i="5"/>
  <c r="E12" i="5"/>
  <c r="M84" i="5"/>
  <c r="M74" i="5"/>
  <c r="E76" i="5"/>
  <c r="E34" i="5"/>
  <c r="J77" i="5"/>
  <c r="E27" i="5"/>
  <c r="M98" i="5"/>
  <c r="M95" i="5"/>
  <c r="E61" i="5"/>
  <c r="E16" i="5"/>
  <c r="L94" i="5"/>
  <c r="M42" i="5"/>
  <c r="N71" i="5"/>
  <c r="E65" i="5"/>
  <c r="N26" i="5"/>
  <c r="N90" i="5"/>
  <c r="L11" i="5"/>
  <c r="N77" i="5"/>
  <c r="M12" i="5"/>
  <c r="E26" i="5"/>
  <c r="N66" i="5"/>
  <c r="E39" i="5"/>
  <c r="E31" i="5"/>
  <c r="N41" i="5"/>
  <c r="E89" i="5"/>
  <c r="L73" i="5"/>
  <c r="L65" i="5"/>
  <c r="M85" i="5"/>
  <c r="E23" i="5"/>
  <c r="M76" i="5"/>
  <c r="N23" i="5"/>
  <c r="N73" i="5"/>
  <c r="E21" i="5"/>
  <c r="M69" i="5"/>
  <c r="E55" i="5"/>
  <c r="N101" i="5"/>
  <c r="M45" i="5"/>
  <c r="N76" i="5"/>
  <c r="M32" i="5"/>
  <c r="M24" i="5"/>
  <c r="N43" i="5"/>
  <c r="M19" i="5"/>
  <c r="M21" i="5"/>
  <c r="E85" i="5"/>
  <c r="E5" i="5"/>
  <c r="J29" i="5"/>
  <c r="J78" i="5"/>
  <c r="M65" i="5"/>
  <c r="M10" i="5"/>
  <c r="N80" i="5"/>
  <c r="N79" i="5"/>
  <c r="J70" i="5"/>
  <c r="N88" i="5"/>
  <c r="N63" i="5"/>
  <c r="E28" i="5"/>
  <c r="E53" i="5"/>
  <c r="M61" i="5"/>
  <c r="M75" i="5"/>
  <c r="J48" i="5"/>
  <c r="J44" i="5"/>
  <c r="J101" i="5"/>
  <c r="J22" i="5"/>
  <c r="J47" i="5"/>
  <c r="J20" i="5"/>
  <c r="J50" i="5"/>
  <c r="J66" i="5"/>
  <c r="J3" i="5"/>
  <c r="L80" i="5"/>
  <c r="J74" i="5"/>
  <c r="K45" i="5"/>
  <c r="K17" i="5"/>
  <c r="K87" i="5"/>
  <c r="L101" i="5"/>
  <c r="L46" i="5"/>
  <c r="K2" i="5"/>
  <c r="K28" i="5"/>
  <c r="K69" i="5"/>
  <c r="J14" i="5"/>
  <c r="L99" i="5"/>
  <c r="J6" i="5"/>
  <c r="M8" i="5"/>
  <c r="N89" i="5"/>
  <c r="N68" i="5"/>
  <c r="N11" i="5"/>
  <c r="N5" i="5"/>
  <c r="E32" i="5"/>
  <c r="N85" i="5"/>
  <c r="M60" i="5"/>
  <c r="M66" i="5"/>
  <c r="J21" i="5"/>
  <c r="E10" i="5"/>
  <c r="M47" i="5"/>
  <c r="M4" i="5"/>
  <c r="N40" i="5"/>
  <c r="E54" i="5"/>
  <c r="L29" i="5"/>
  <c r="M97" i="5"/>
  <c r="N59" i="5"/>
  <c r="M63" i="5"/>
  <c r="N2" i="5"/>
  <c r="J64" i="5"/>
  <c r="M43" i="5"/>
  <c r="E4" i="5"/>
  <c r="E37" i="5"/>
  <c r="E24" i="5"/>
  <c r="N47" i="5"/>
  <c r="N45" i="5"/>
  <c r="M49" i="5"/>
  <c r="M77" i="5"/>
  <c r="M5" i="5"/>
  <c r="L23" i="5"/>
  <c r="E99" i="5"/>
  <c r="E75" i="5"/>
  <c r="N99" i="5"/>
  <c r="M101" i="5"/>
  <c r="N54" i="5"/>
  <c r="L77" i="5"/>
  <c r="E2" i="5"/>
  <c r="M11" i="5"/>
  <c r="N48" i="5"/>
  <c r="N3" i="5"/>
  <c r="N24" i="5"/>
  <c r="E20" i="5"/>
  <c r="N29" i="5"/>
  <c r="E30" i="5"/>
  <c r="N20" i="5"/>
  <c r="M36" i="5"/>
  <c r="E97" i="5"/>
  <c r="N19" i="5"/>
  <c r="E73" i="5"/>
  <c r="J68" i="5"/>
  <c r="E91" i="5"/>
  <c r="M78" i="5"/>
  <c r="E58" i="5"/>
  <c r="M30" i="5"/>
  <c r="N69" i="5"/>
  <c r="L9" i="5"/>
  <c r="N16" i="5"/>
  <c r="E69" i="5"/>
  <c r="M22" i="5"/>
  <c r="E78" i="5"/>
  <c r="N53" i="5"/>
  <c r="J13" i="5"/>
  <c r="L91" i="5"/>
  <c r="J98" i="5"/>
  <c r="L70" i="5"/>
  <c r="L81" i="5"/>
  <c r="J34" i="5"/>
  <c r="L45" i="5"/>
  <c r="J51" i="5"/>
  <c r="J67" i="5"/>
  <c r="L19" i="5"/>
  <c r="L22" i="5"/>
  <c r="L63" i="5"/>
  <c r="K73" i="5"/>
  <c r="K92" i="5"/>
  <c r="K38" i="5"/>
  <c r="L39" i="5"/>
  <c r="J38" i="5"/>
  <c r="L75" i="5"/>
  <c r="K11" i="5"/>
  <c r="K16" i="5"/>
  <c r="J33" i="5"/>
  <c r="K55" i="5"/>
  <c r="K61" i="5"/>
  <c r="K7" i="5"/>
  <c r="L58" i="5"/>
  <c r="J9" i="5"/>
  <c r="L87" i="5"/>
  <c r="J95" i="5"/>
  <c r="L54" i="5"/>
  <c r="L55" i="5"/>
  <c r="L100" i="5"/>
  <c r="J35" i="5"/>
  <c r="L56" i="5"/>
  <c r="K34" i="5"/>
  <c r="K58" i="5"/>
  <c r="J17" i="5"/>
  <c r="J41" i="5"/>
  <c r="K81" i="5"/>
  <c r="K52" i="5"/>
  <c r="L71" i="5"/>
  <c r="L34" i="5"/>
  <c r="L30" i="5"/>
  <c r="L21" i="5"/>
  <c r="J24" i="5"/>
  <c r="L78" i="5"/>
  <c r="J46" i="5"/>
  <c r="L88" i="5"/>
  <c r="L18" i="5"/>
  <c r="K50" i="5"/>
  <c r="K44" i="5"/>
  <c r="L43" i="5"/>
  <c r="J36" i="5"/>
  <c r="L37" i="5"/>
  <c r="K57" i="5"/>
  <c r="J7" i="5"/>
  <c r="J96" i="5"/>
  <c r="J100" i="5"/>
  <c r="J27" i="5"/>
  <c r="K66" i="5"/>
  <c r="K46" i="5"/>
  <c r="L96" i="5"/>
  <c r="J10" i="5"/>
  <c r="L52" i="5"/>
  <c r="L24" i="5"/>
  <c r="K36" i="5"/>
  <c r="E66" i="5"/>
  <c r="M15" i="5"/>
  <c r="N28" i="5"/>
  <c r="M88" i="5"/>
  <c r="N91" i="5"/>
  <c r="E7" i="5"/>
  <c r="E22" i="5"/>
  <c r="E50" i="5"/>
  <c r="J73" i="5"/>
  <c r="L32" i="5"/>
  <c r="E100" i="5"/>
  <c r="N31" i="5"/>
  <c r="N9" i="5"/>
  <c r="E60" i="5"/>
  <c r="E6" i="5"/>
  <c r="M59" i="5"/>
  <c r="N72" i="5"/>
  <c r="E8" i="5"/>
  <c r="M9" i="5"/>
  <c r="E59" i="5"/>
  <c r="J97" i="5"/>
  <c r="N27" i="5"/>
  <c r="M58" i="5"/>
  <c r="N93" i="5"/>
  <c r="N98" i="5"/>
  <c r="E93" i="5"/>
  <c r="E88" i="5"/>
  <c r="M46" i="5"/>
  <c r="E19" i="5"/>
  <c r="E56" i="5"/>
  <c r="L15" i="5"/>
  <c r="M99" i="5"/>
  <c r="N96" i="5"/>
  <c r="M17" i="5"/>
  <c r="N52" i="5"/>
  <c r="N25" i="5"/>
  <c r="J28" i="5"/>
  <c r="E79" i="5"/>
  <c r="M71" i="5"/>
  <c r="E81" i="5"/>
  <c r="M80" i="5"/>
  <c r="E9" i="5"/>
  <c r="E94" i="5"/>
  <c r="N62" i="5"/>
  <c r="M14" i="5"/>
  <c r="N12" i="5"/>
  <c r="E17" i="5"/>
  <c r="N81" i="5"/>
  <c r="M92" i="5"/>
  <c r="N8" i="5"/>
  <c r="L28" i="5"/>
  <c r="E45" i="5"/>
  <c r="M20" i="5"/>
  <c r="N86" i="5"/>
  <c r="N61" i="5"/>
  <c r="E38" i="5"/>
  <c r="J15" i="5"/>
  <c r="M28" i="5"/>
  <c r="M41" i="5"/>
  <c r="N95" i="5"/>
  <c r="M96" i="5"/>
  <c r="E25" i="5"/>
  <c r="L53" i="5"/>
  <c r="J18" i="5"/>
  <c r="J65" i="5"/>
  <c r="J82" i="5"/>
  <c r="L95" i="5"/>
  <c r="J94" i="5"/>
  <c r="L38" i="5"/>
  <c r="L66" i="5"/>
  <c r="L98" i="5"/>
  <c r="J43" i="5"/>
  <c r="J76" i="5"/>
  <c r="L31" i="5"/>
  <c r="K29" i="5"/>
  <c r="K6" i="5"/>
  <c r="K78" i="5"/>
  <c r="J45" i="5"/>
  <c r="J89" i="5"/>
  <c r="K10" i="5"/>
  <c r="K27" i="5"/>
  <c r="K13" i="5"/>
  <c r="L41" i="5"/>
  <c r="K42" i="5"/>
  <c r="K98" i="5"/>
  <c r="K3" i="5"/>
  <c r="L35" i="5"/>
  <c r="L42" i="5"/>
  <c r="J37" i="5"/>
  <c r="L60" i="5"/>
  <c r="J90" i="5"/>
  <c r="L64" i="5"/>
  <c r="L20" i="5"/>
  <c r="L59" i="5"/>
  <c r="K8" i="5"/>
  <c r="K90" i="5"/>
  <c r="K39" i="5"/>
  <c r="J59" i="5"/>
  <c r="L97" i="5"/>
  <c r="K84" i="5"/>
  <c r="K15" i="5"/>
  <c r="L17" i="5"/>
  <c r="L57" i="5"/>
  <c r="L90" i="5"/>
  <c r="J72" i="5"/>
  <c r="K75" i="5"/>
  <c r="J69" i="5"/>
  <c r="L26" i="5"/>
  <c r="K14" i="5"/>
  <c r="J54" i="5"/>
  <c r="L14" i="5"/>
  <c r="K5" i="5"/>
  <c r="L50" i="5"/>
  <c r="K33" i="5"/>
  <c r="L76" i="5"/>
  <c r="K64" i="5"/>
  <c r="J40" i="5"/>
  <c r="J91" i="5"/>
  <c r="J32" i="5"/>
  <c r="K30" i="5"/>
  <c r="J71" i="5"/>
  <c r="J30" i="5"/>
  <c r="K56" i="5"/>
  <c r="L3" i="5"/>
  <c r="J83" i="5"/>
  <c r="L16" i="5"/>
  <c r="K23" i="5"/>
  <c r="K95" i="5"/>
  <c r="J88" i="5"/>
  <c r="L72" i="5"/>
  <c r="L5" i="5"/>
  <c r="J92" i="5"/>
  <c r="K96" i="5"/>
  <c r="K76" i="5"/>
  <c r="I69" i="5"/>
  <c r="I38" i="5"/>
  <c r="I48" i="5"/>
  <c r="I78" i="5"/>
  <c r="I79" i="5"/>
  <c r="J49" i="5"/>
  <c r="J87" i="5"/>
  <c r="J61" i="5"/>
  <c r="K100" i="5"/>
  <c r="K99" i="5"/>
  <c r="I93" i="5"/>
  <c r="I8" i="5"/>
  <c r="I67" i="5"/>
  <c r="I97" i="5"/>
  <c r="I45" i="5"/>
  <c r="L62" i="5"/>
  <c r="L67" i="5"/>
  <c r="K24" i="5"/>
  <c r="K60" i="5"/>
  <c r="K94" i="5"/>
  <c r="I49" i="5"/>
  <c r="I63" i="5"/>
  <c r="I32" i="5"/>
  <c r="I34" i="5"/>
  <c r="I31" i="5"/>
  <c r="I50" i="5"/>
  <c r="I10" i="5"/>
  <c r="I64" i="5"/>
  <c r="I62" i="5"/>
  <c r="I91" i="5"/>
  <c r="F8" i="5"/>
  <c r="F37" i="5"/>
  <c r="F90" i="5"/>
  <c r="F49" i="5"/>
  <c r="F28" i="5"/>
  <c r="F5" i="5"/>
  <c r="F57" i="5"/>
  <c r="F54" i="5"/>
  <c r="F16" i="5"/>
  <c r="J8" i="5"/>
  <c r="L79" i="5"/>
  <c r="K31" i="5"/>
  <c r="K9" i="5"/>
  <c r="K41" i="5"/>
  <c r="I19" i="5"/>
  <c r="I27" i="5"/>
  <c r="I70" i="5"/>
  <c r="I84" i="5"/>
  <c r="I76" i="5"/>
  <c r="J86" i="5"/>
  <c r="L44" i="5"/>
  <c r="K77" i="5"/>
  <c r="K82" i="5"/>
  <c r="K85" i="5"/>
  <c r="I17" i="5"/>
  <c r="I18" i="5"/>
  <c r="I15" i="5"/>
  <c r="I39" i="5"/>
  <c r="I71" i="5"/>
  <c r="L27" i="5"/>
  <c r="L10" i="5"/>
  <c r="K63" i="5"/>
  <c r="K71" i="5"/>
  <c r="K54" i="5"/>
  <c r="I77" i="5"/>
  <c r="I88" i="5"/>
  <c r="I9" i="5"/>
  <c r="I36" i="5"/>
  <c r="I23" i="5"/>
  <c r="I83" i="5"/>
  <c r="I81" i="5"/>
  <c r="I89" i="5"/>
  <c r="I24" i="5"/>
  <c r="I3" i="5"/>
  <c r="I82" i="5"/>
  <c r="I101" i="5"/>
  <c r="I94" i="5"/>
  <c r="I40" i="5"/>
  <c r="I44" i="5"/>
  <c r="F94" i="5"/>
  <c r="F92" i="5"/>
  <c r="F62" i="5"/>
  <c r="F91" i="5"/>
  <c r="F67" i="5"/>
  <c r="F7" i="5"/>
  <c r="F70" i="5"/>
  <c r="F80" i="5"/>
  <c r="F11" i="5"/>
  <c r="F60" i="5"/>
  <c r="J75" i="5"/>
  <c r="L86" i="5"/>
  <c r="K19" i="5"/>
  <c r="K101" i="5"/>
  <c r="K62" i="5"/>
  <c r="I95" i="5"/>
  <c r="I13" i="5"/>
  <c r="I43" i="5"/>
  <c r="I68" i="5"/>
  <c r="I90" i="5"/>
  <c r="L68" i="5"/>
  <c r="L74" i="5"/>
  <c r="K86" i="5"/>
  <c r="K53" i="5"/>
  <c r="K47" i="5"/>
  <c r="I25" i="5"/>
  <c r="I86" i="5"/>
  <c r="I53" i="5"/>
  <c r="I2" i="5"/>
  <c r="I7" i="5"/>
  <c r="L7" i="5"/>
  <c r="L33" i="5"/>
  <c r="K79" i="5"/>
  <c r="K43" i="5"/>
  <c r="K51" i="5"/>
  <c r="I37" i="5"/>
  <c r="I33" i="5"/>
  <c r="I16" i="5"/>
  <c r="I80" i="5"/>
  <c r="I4" i="5"/>
  <c r="I85" i="5"/>
  <c r="I60" i="5"/>
  <c r="I92" i="5"/>
  <c r="I66" i="5"/>
  <c r="I22" i="5"/>
  <c r="I96" i="5"/>
  <c r="I30" i="5"/>
  <c r="I52" i="5"/>
  <c r="I54" i="5"/>
  <c r="I72" i="5"/>
  <c r="F74" i="5"/>
  <c r="F2" i="5"/>
  <c r="F87" i="5"/>
  <c r="F96" i="5"/>
  <c r="F56" i="5"/>
  <c r="F55" i="5"/>
  <c r="F61" i="5"/>
  <c r="F77" i="5"/>
  <c r="F24" i="5"/>
  <c r="F71" i="5"/>
  <c r="F82" i="5"/>
  <c r="F19" i="5"/>
  <c r="F78" i="5"/>
  <c r="F14" i="5"/>
  <c r="F13" i="5"/>
  <c r="F89" i="5"/>
  <c r="F41" i="5"/>
  <c r="F36" i="5"/>
  <c r="F44" i="5"/>
  <c r="F50" i="5"/>
  <c r="L85" i="5"/>
  <c r="L51" i="5"/>
  <c r="K93" i="5"/>
  <c r="K88" i="5"/>
  <c r="K91" i="5"/>
  <c r="I21" i="5"/>
  <c r="I35" i="5"/>
  <c r="I42" i="5"/>
  <c r="I98" i="5"/>
  <c r="I26" i="5"/>
  <c r="J80" i="5"/>
  <c r="L25" i="5"/>
  <c r="K25" i="5"/>
  <c r="K4" i="5"/>
  <c r="K35" i="5"/>
  <c r="I57" i="5"/>
  <c r="I6" i="5"/>
  <c r="I12" i="5"/>
  <c r="I59" i="5"/>
  <c r="I100" i="5"/>
  <c r="L93" i="5"/>
  <c r="L6" i="5"/>
  <c r="K72" i="5"/>
  <c r="K26" i="5"/>
  <c r="I47" i="5"/>
  <c r="I73" i="5"/>
  <c r="I55" i="5"/>
  <c r="I87" i="5"/>
  <c r="I11" i="5"/>
  <c r="I29" i="5"/>
  <c r="I46" i="5"/>
  <c r="I65" i="5"/>
  <c r="I28" i="5"/>
  <c r="I99" i="5"/>
  <c r="I51" i="5"/>
  <c r="I41" i="5"/>
  <c r="I14" i="5"/>
  <c r="I74" i="5"/>
  <c r="I75" i="5"/>
  <c r="F97" i="5"/>
  <c r="F43" i="5"/>
  <c r="F4" i="5"/>
  <c r="F38" i="5"/>
  <c r="F26" i="5"/>
  <c r="F25" i="5"/>
  <c r="F76" i="5"/>
  <c r="F83" i="5"/>
  <c r="F84" i="5"/>
  <c r="F27" i="5"/>
  <c r="F72" i="5"/>
  <c r="F3" i="5"/>
  <c r="F85" i="5"/>
  <c r="F51" i="5"/>
  <c r="F42" i="5"/>
  <c r="F68" i="5"/>
  <c r="F88" i="5"/>
  <c r="I5" i="5"/>
  <c r="I61" i="5"/>
  <c r="I58" i="5"/>
  <c r="I56" i="5"/>
  <c r="I20" i="5"/>
  <c r="F81" i="5"/>
  <c r="F59" i="5"/>
  <c r="F86" i="5"/>
  <c r="F66" i="5"/>
  <c r="F100" i="5"/>
  <c r="F32" i="5"/>
  <c r="F15" i="5"/>
  <c r="F10" i="5"/>
  <c r="F63" i="5"/>
  <c r="F53" i="5"/>
  <c r="S194" i="1" l="1" a="1"/>
  <c r="S194" i="1" s="1"/>
  <c r="R194" i="1" a="1"/>
  <c r="R194" i="1" s="1"/>
  <c r="R193" i="4"/>
  <c r="U192" i="4" a="1"/>
  <c r="U192" i="4" s="1"/>
  <c r="T194" i="1" s="1" a="1"/>
  <c r="T194" i="1" s="1"/>
  <c r="F30" i="5"/>
  <c r="F9" i="5"/>
  <c r="F20" i="5"/>
  <c r="F58" i="5"/>
  <c r="F64" i="5"/>
  <c r="F34" i="5"/>
  <c r="F40" i="5"/>
  <c r="F73" i="5"/>
  <c r="F46" i="5"/>
  <c r="F101" i="5"/>
  <c r="F47" i="5"/>
  <c r="F98" i="5"/>
  <c r="F52" i="5"/>
  <c r="F65" i="5"/>
  <c r="F79" i="5"/>
  <c r="F33" i="5"/>
  <c r="F39" i="5"/>
  <c r="F17" i="5"/>
  <c r="F6" i="5"/>
  <c r="F23" i="5"/>
  <c r="F48" i="5"/>
  <c r="F69" i="5"/>
  <c r="F75" i="5"/>
  <c r="F31" i="5"/>
  <c r="F21" i="5"/>
  <c r="F18" i="5"/>
  <c r="F35" i="5"/>
  <c r="F45" i="5"/>
  <c r="F12" i="5"/>
  <c r="F95" i="5"/>
  <c r="F22" i="5"/>
  <c r="F93" i="5"/>
  <c r="F29" i="5"/>
  <c r="F99" i="5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6" i="5"/>
  <c r="H67" i="5"/>
  <c r="H58" i="5"/>
  <c r="H2" i="5"/>
  <c r="H38" i="5"/>
  <c r="H62" i="5"/>
  <c r="H101" i="5"/>
  <c r="H85" i="5"/>
  <c r="H24" i="5"/>
  <c r="H99" i="5"/>
  <c r="H94" i="5"/>
  <c r="H87" i="5"/>
  <c r="H54" i="5"/>
  <c r="H7" i="5"/>
  <c r="H98" i="5"/>
  <c r="H12" i="5"/>
  <c r="H72" i="5"/>
  <c r="H77" i="5"/>
  <c r="H41" i="5"/>
  <c r="H50" i="5"/>
  <c r="H17" i="5"/>
  <c r="H96" i="5"/>
  <c r="H65" i="5"/>
  <c r="H43" i="5"/>
  <c r="H20" i="5"/>
  <c r="H60" i="5"/>
  <c r="H21" i="5"/>
  <c r="H49" i="5"/>
  <c r="H36" i="5"/>
  <c r="H11" i="5"/>
  <c r="H45" i="5"/>
  <c r="H84" i="5"/>
  <c r="H48" i="5"/>
  <c r="H89" i="5"/>
  <c r="H71" i="5"/>
  <c r="H76" i="5"/>
  <c r="H3" i="5"/>
  <c r="H64" i="5"/>
  <c r="H73" i="5"/>
  <c r="H68" i="5"/>
  <c r="H32" i="5"/>
  <c r="H31" i="5"/>
  <c r="H37" i="5"/>
  <c r="H88" i="5"/>
  <c r="H92" i="5"/>
  <c r="H86" i="5"/>
  <c r="H66" i="5"/>
  <c r="H30" i="5"/>
  <c r="H28" i="5"/>
  <c r="H93" i="5"/>
  <c r="H39" i="5"/>
  <c r="H61" i="5"/>
  <c r="H46" i="5"/>
  <c r="H14" i="5"/>
  <c r="H80" i="5"/>
  <c r="H83" i="5"/>
  <c r="H34" i="5"/>
  <c r="H42" i="5"/>
  <c r="H27" i="5"/>
  <c r="H70" i="5"/>
  <c r="H13" i="5"/>
  <c r="H100" i="5"/>
  <c r="H55" i="5"/>
  <c r="H22" i="5"/>
  <c r="H26" i="5"/>
  <c r="H78" i="5"/>
  <c r="H53" i="5"/>
  <c r="H82" i="5"/>
  <c r="H81" i="5"/>
  <c r="H23" i="5"/>
  <c r="H47" i="5"/>
  <c r="H63" i="5"/>
  <c r="H90" i="5"/>
  <c r="H35" i="5"/>
  <c r="H59" i="5"/>
  <c r="H5" i="5"/>
  <c r="H69" i="5"/>
  <c r="H8" i="5"/>
  <c r="H10" i="5"/>
  <c r="H44" i="5"/>
  <c r="H52" i="5"/>
  <c r="H15" i="5"/>
  <c r="H25" i="5"/>
  <c r="H29" i="5"/>
  <c r="H91" i="5"/>
  <c r="H18" i="5"/>
  <c r="H79" i="5"/>
  <c r="H40" i="5"/>
  <c r="H57" i="5"/>
  <c r="H51" i="5"/>
  <c r="H95" i="5"/>
  <c r="H74" i="5"/>
  <c r="H75" i="5"/>
  <c r="H56" i="5"/>
  <c r="H9" i="5"/>
  <c r="H4" i="5"/>
  <c r="H97" i="5"/>
  <c r="H33" i="5"/>
  <c r="H19" i="5"/>
  <c r="H16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<sst xmlns="http://schemas.openxmlformats.org/spreadsheetml/2006/main" count="551" uniqueCount="344">
  <si>
    <t>^</t>
  </si>
  <si>
    <t>KANBAN</t>
  </si>
  <si>
    <t>COMPLETADO</t>
  </si>
  <si>
    <t>URGENTE</t>
  </si>
  <si>
    <t xml:space="preserve">Lista de Interesado                                                        </t>
  </si>
  <si>
    <t>Registro de personas o grupos involucrados.</t>
  </si>
  <si>
    <t>Kevin Castillo</t>
  </si>
  <si>
    <t>IMPORTANTE</t>
  </si>
  <si>
    <t>FODA</t>
  </si>
  <si>
    <t>Análisis de Fortalezas, Oportunidades, Debilidades y Amenazas.</t>
  </si>
  <si>
    <t>Ismael Silva</t>
  </si>
  <si>
    <t>Introduccion</t>
  </si>
  <si>
    <t>Presentación general del proyecto.</t>
  </si>
  <si>
    <t>Cristian Becerra</t>
  </si>
  <si>
    <t>Planteamiento del Problema</t>
  </si>
  <si>
    <t>Definición del problema a resolver.</t>
  </si>
  <si>
    <t>Objetivos</t>
  </si>
  <si>
    <t>Metas del proyecto.</t>
  </si>
  <si>
    <t>Alcance</t>
  </si>
  <si>
    <t>Límites y entregables del proyecto.</t>
  </si>
  <si>
    <t>Marco Teorico</t>
  </si>
  <si>
    <t>Base conceptual y antecedentes.</t>
  </si>
  <si>
    <t>Ideas a Defender</t>
  </si>
  <si>
    <t>Hipótesis principales del proyecto.</t>
  </si>
  <si>
    <t>Resultados Esperados</t>
  </si>
  <si>
    <t>Productos finales anticipados.</t>
  </si>
  <si>
    <t>NORMAL</t>
  </si>
  <si>
    <t>Referencias</t>
  </si>
  <si>
    <t>Fuentes de información consultadas.</t>
  </si>
  <si>
    <t>Realizacion Guion de Entrevista</t>
  </si>
  <si>
    <t>Diseño de preguntas para stakeholders.</t>
  </si>
  <si>
    <t>Videoreunion 1</t>
  </si>
  <si>
    <t>Primera reunión virtual de alineación.</t>
  </si>
  <si>
    <t>Cristian Becerra, Kevin Castillo, Ismael Silva</t>
  </si>
  <si>
    <t>Podcast</t>
  </si>
  <si>
    <t>Episodio de audio sobre el proyecto.</t>
  </si>
  <si>
    <t>Realizacion Matriz Historias de Usuario</t>
  </si>
  <si>
    <t>Tabla con historias de usuario y criterios.</t>
  </si>
  <si>
    <t>Videoreunion 2</t>
  </si>
  <si>
    <t>Segunda reunión virtual de seguimiento.</t>
  </si>
  <si>
    <t>Realizacion Backlog</t>
  </si>
  <si>
    <t>Lista priorizada de requisitos.</t>
  </si>
  <si>
    <t>Reunion Scrum Team</t>
  </si>
  <si>
    <t>Encuentro del equipo ágil.</t>
  </si>
  <si>
    <t>Funcionalidad Sprint 1</t>
  </si>
  <si>
    <t>Requisitos del primer ciclo de desarrollo.</t>
  </si>
  <si>
    <t>REQ001: Inicio de Sesion</t>
  </si>
  <si>
    <t>Sistema de autenticación seguro.</t>
  </si>
  <si>
    <t>REQ001-1: Validacion de Credenciales</t>
  </si>
  <si>
    <t>Verificar usuario y contraseña en BD.</t>
  </si>
  <si>
    <t>REQ001-2: Enmascaramiento de constrasena</t>
  </si>
  <si>
    <t>Ocultar contraseña al escribir.</t>
  </si>
  <si>
    <t>REQ001-3: Mensaje de Error en caso de credenciales incorrectas</t>
  </si>
  <si>
    <t>Mostrar si credenciales son incorrectas.</t>
  </si>
  <si>
    <t>REQ001-4: Bloqueo del sistema por 30 segundos tras 3 intentos fallidos</t>
  </si>
  <si>
    <t>Bloquear tras 3 intentos fallidos.</t>
  </si>
  <si>
    <t>REQ002: Gestion de Comandas</t>
  </si>
  <si>
    <t>Crear y registrar pedidos.</t>
  </si>
  <si>
    <t>REQ002-1: La interfaz debe mostrar todos los productos con precios visibles y un selector de cantidades</t>
  </si>
  <si>
    <t>Mostrar productos con precios y selector.</t>
  </si>
  <si>
    <t>REQ002-2:La comanda debe permitir recolectar datos del pedido, incluyendo nombre del cliente, platos, cantidades y precios</t>
  </si>
  <si>
    <t>Capturar datos del cliente y pedido.</t>
  </si>
  <si>
    <t>REQ002-3:La interfaz debe incluir un campo para comentarios o peticiones especiales del cliente</t>
  </si>
  <si>
    <t>Área para peticiones especiales.</t>
  </si>
  <si>
    <t>REQ002-3:El resumen debe mostrar la comanda con cálculo automático del precio total</t>
  </si>
  <si>
    <t>Mostrar comanda y total automático.</t>
  </si>
  <si>
    <t>REQ002-3:El botón de confirmación debe generar y guardar la comanda en la base de datos</t>
  </si>
  <si>
    <t>Guardar comanda en BD.</t>
  </si>
  <si>
    <t>REQ003: Visualizacion de Comandas</t>
  </si>
  <si>
    <t>Pantalla para gestión en cocina.</t>
  </si>
  <si>
    <t>REQ003-1:La pantalla debe mostrar dos secciones: "Pedidos en Proceso" en rojo y "Pedidos Listos" en verde</t>
  </si>
  <si>
    <t>Secciones "En Proceso" y "Listos".</t>
  </si>
  <si>
    <t>REQ003-2:Los pedidos deben organizarse en orden de llegada</t>
  </si>
  <si>
    <t>Organizar pedidos por orden de entrada.</t>
  </si>
  <si>
    <t>REQ003-3:Cada pedido debe mostrar detalles completos de la comanda</t>
  </si>
  <si>
    <t>Mostrar toda la información del pedido.</t>
  </si>
  <si>
    <t>REQ003-4:El botón "Realizado" debe cambiar pedidos de "en proceso" a "Realizados"</t>
  </si>
  <si>
    <t>Cambiar estado del pedido.</t>
  </si>
  <si>
    <t>REQ003-5:Los cambios deben reflejarse en tiempo real al actualizar el estado</t>
  </si>
  <si>
    <t>Reflejar cambios sin recargar.</t>
  </si>
  <si>
    <t>Maquetado del primer sprint</t>
  </si>
  <si>
    <t>Diseño visual de las interfaces para las funcionalidades del primer ciclo.</t>
  </si>
  <si>
    <t>EN PROGRESO</t>
  </si>
  <si>
    <t>Caja blanca caja negra primer sprint</t>
  </si>
  <si>
    <t>Pruebas de software realizadas sobre las funcionalidades del primer sprint.</t>
  </si>
  <si>
    <t>Cristian Becerra, Kevin Castillo</t>
  </si>
  <si>
    <t>Revisión del primer sprint</t>
  </si>
  <si>
    <t>Sesión de demostración de avances con el equipo y stakeholders.</t>
  </si>
  <si>
    <t>Ing. Jenny Ruiz</t>
  </si>
  <si>
    <t xml:space="preserve">Tercera entrevista con el cliente </t>
  </si>
  <si>
    <t>Conversación para recabar nuevos requerimientos y retroalimentación.</t>
  </si>
  <si>
    <t xml:space="preserve">Funcionalidades segundo sprint </t>
  </si>
  <si>
    <t>Requisitos del segundo ciclo de desarrollo.</t>
  </si>
  <si>
    <t xml:space="preserve">REQ004: Reportes de ventas </t>
  </si>
  <si>
    <t>Módulo para generar informes de ventas del restaurante.</t>
  </si>
  <si>
    <t xml:space="preserve">REQ004-1: Generar reportes diarios </t>
  </si>
  <si>
    <t>Crear reportes del total de ventas por día.</t>
  </si>
  <si>
    <t xml:space="preserve">REQ004-2: Calcular y mostrar total </t>
  </si>
  <si>
    <t>Mostrar el monto total de ventas de cada día.</t>
  </si>
  <si>
    <t xml:space="preserve">REQ004-3: Incluir datos </t>
  </si>
  <si>
    <t>Reporte debe incluir fecha, productos y monto por transacción.</t>
  </si>
  <si>
    <t xml:space="preserve">REQ004-4: Generar reporte </t>
  </si>
  <si>
    <t>Permitir descargar reporte en formato PDF.</t>
  </si>
  <si>
    <t>REQ005: Actualizacion de credenciales</t>
  </si>
  <si>
    <t>Módulo para modificar usuario y contraseña.</t>
  </si>
  <si>
    <t xml:space="preserve">REQ005-1: Crear un aparado en pantalla de cambio de usurio </t>
  </si>
  <si>
    <t>Interfaz para que el usuario modifique su nombre de acceso.</t>
  </si>
  <si>
    <t>REQ005-2: El sistema debera validar el sistema a traves de preguntas</t>
  </si>
  <si>
    <t>Autenticar al usuario con preguntas de seguridad antes de permitir cambios.</t>
  </si>
  <si>
    <t>REQ005-3: Apartado de cambio de contraseñas</t>
  </si>
  <si>
    <t>Interfaz para que el usuario modifique su contraseña.</t>
  </si>
  <si>
    <t xml:space="preserve">REQ005-4: Creacion de boton guardar cambios </t>
  </si>
  <si>
    <t>Botón para confirmar y almacenar las nuevas credenciales.</t>
  </si>
  <si>
    <t xml:space="preserve">REQ006: Gestion de roles de usuario </t>
  </si>
  <si>
    <t>Sistema para administrar permisos de acceso.</t>
  </si>
  <si>
    <t>REQ006-1: Implementar la logica de restriccion de acceso dependiendo el rol</t>
  </si>
  <si>
    <t>Desarrollar la funcionalidad que limita las acciones según el tipo de usuario.</t>
  </si>
  <si>
    <t xml:space="preserve">REQ006-2: Definir y configurar los roles en el sistema </t>
  </si>
  <si>
    <t>Establecer los roles (Administrador, Cocina, Cajero) y sus permisos.</t>
  </si>
  <si>
    <t>REQ006-3 Diseñar y desarrolar un formulario de gestion de usurios</t>
  </si>
  <si>
    <t>Crear una interfaz para asignar y modificar roles de los usuarios.</t>
  </si>
  <si>
    <t xml:space="preserve">Maquetado de requisitos sprint 2 </t>
  </si>
  <si>
    <t>Diseño visual de las interfaces para las nuevas funcionalidades del segundo ciclo.</t>
  </si>
  <si>
    <t>Caja blanca caja negra primer sprint 2</t>
  </si>
  <si>
    <t>Pruebas de software realizadas sobre las funcionalidades del segundo sprint.</t>
  </si>
  <si>
    <t>Entrevista N4 con el cliente</t>
  </si>
  <si>
    <t>Cuarta sesión de validación y ajuste de requerimientos.</t>
  </si>
  <si>
    <t>Diagrama de casos de uso</t>
  </si>
  <si>
    <t>Modelo gráfico que representa las interacciones entre los usuarios y el sistema.</t>
  </si>
  <si>
    <t xml:space="preserve">Diagrama de casos de clases </t>
  </si>
  <si>
    <t>Modelo estático que muestra las clases principales del sistema y sus relaciones.</t>
  </si>
  <si>
    <t>Diagrama de secuencia de analisis</t>
  </si>
  <si>
    <t>Modelo dinámico que ilustra el orden de interacción entre objetos para un caso de uso específico.</t>
  </si>
  <si>
    <t>Resultados de las pruebas finales Stakeholder de desarrollo 
y de la organizaciòn</t>
  </si>
  <si>
    <t xml:space="preserve">Realizar el Informe de Resultados de 
las pruebas finales </t>
  </si>
  <si>
    <t>Ruben Arroyo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</si>
  <si>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</si>
  <si>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</si>
  <si>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</si>
  <si>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</si>
  <si>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</si>
  <si>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</si>
  <si>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</si>
  <si>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POR HACER</t>
  </si>
  <si>
    <t>EN ESPERA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</si>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</sst>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21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charset val="1"/>
    </font>
  </fonts>
  <fills count="24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  <fill>
      <patternFill patternType="solid">
        <fgColor rgb="FFD9E1F2"/>
        <bgColor rgb="FFD9E1F2"/>
      </patternFill>
    </fill>
  </fills>
  <borders count="42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  <border>
      <left/>
      <right/>
      <top style="thin">
        <color rgb="FF8EA9DB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0" fontId="19" fillId="23" borderId="41" xfId="0" applyFont="1" applyFill="1" applyBorder="1" applyAlignment="1" applyProtection="1">
      <alignment vertical="center" wrapText="1"/>
      <protection locked="0"/>
    </xf>
    <xf numFmtId="0" fontId="19" fillId="0" borderId="41" xfId="0" applyFont="1" applyFill="1" applyBorder="1" applyAlignment="1" applyProtection="1">
      <alignment vertical="center" wrapText="1"/>
      <protection locked="0"/>
    </xf>
    <xf numFmtId="0" fontId="19" fillId="23" borderId="41" xfId="0" applyFont="1" applyFill="1" applyBorder="1" applyAlignment="1" applyProtection="1">
      <alignment vertical="center"/>
      <protection locked="0"/>
    </xf>
    <xf numFmtId="0" fontId="19" fillId="0" borderId="41" xfId="0" applyFont="1" applyFill="1" applyBorder="1" applyAlignment="1" applyProtection="1">
      <alignment vertical="center"/>
      <protection locked="0"/>
    </xf>
    <xf numFmtId="0" fontId="20" fillId="18" borderId="37" xfId="0" applyFont="1" applyFill="1" applyBorder="1" applyAlignment="1" applyProtection="1">
      <alignment vertical="center"/>
      <protection locked="0"/>
    </xf>
    <xf numFmtId="0" fontId="20" fillId="0" borderId="37" xfId="0" applyFont="1" applyBorder="1" applyAlignment="1" applyProtection="1">
      <alignment vertical="center"/>
      <protection locked="0"/>
    </xf>
    <xf numFmtId="14" fontId="19" fillId="23" borderId="41" xfId="0" applyNumberFormat="1" applyFont="1" applyFill="1" applyBorder="1" applyAlignment="1" applyProtection="1">
      <alignment horizontal="center" vertical="center"/>
      <protection locked="0"/>
    </xf>
    <xf numFmtId="14" fontId="19" fillId="0" borderId="41" xfId="0" applyNumberFormat="1" applyFont="1" applyFill="1" applyBorder="1" applyAlignment="1" applyProtection="1">
      <alignment horizontal="center"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="110" zoomScaleNormal="110" workbookViewId="0">
      <pane ySplit="4" topLeftCell="A89" activePane="bottomLeft" state="frozen"/>
      <selection pane="bottomLeft" activeCell="S95" sqref="S95:T95"/>
    </sheetView>
  </sheetViews>
  <sheetFormatPr baseColWidth="10" defaultColWidth="0" defaultRowHeight="15" zeroHeight="1" x14ac:dyDescent="0.25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85546875" style="2" hidden="1"/>
  </cols>
  <sheetData>
    <row r="1" spans="2:51" ht="15.75" thickBot="1" x14ac:dyDescent="0.3"/>
    <row r="2" spans="2:51" ht="15.75" thickBot="1" x14ac:dyDescent="0.3">
      <c r="B2" s="120" t="str">
        <f>Configura!$B$2</f>
        <v xml:space="preserve">                Tablero KANBAN v3 ©️            </v>
      </c>
      <c r="C2" s="120"/>
      <c r="D2" s="120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61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.75" thickBot="1" x14ac:dyDescent="0.3"/>
    <row r="4" spans="2:51" ht="21.75" thickBot="1" x14ac:dyDescent="0.3">
      <c r="B4" s="26">
        <v>1</v>
      </c>
      <c r="C4" s="123" t="str" cm="1">
        <f t="array" aca="1" ref="C4" ca="1">IFERROR(INDEX(Configura!$B$9:$B$18,B4)&amp;" ("&amp;SUMIF(misEstados,B4,misFiltros)&amp;" de "&amp;SUM(misFiltros)&amp;")","")</f>
        <v>POR HACER (0 de 61)</v>
      </c>
      <c r="D4" s="123"/>
      <c r="E4" s="123"/>
      <c r="F4" s="9" t="s">
        <v>0</v>
      </c>
      <c r="G4" s="25">
        <f>B4+1</f>
        <v>2</v>
      </c>
      <c r="H4" s="123" t="str" cm="1">
        <f t="array" aca="1" ref="H4" ca="1">IFERROR(INDEX(Configura!$B$9:$B$18,G4)&amp;" ("&amp;SUMIF(misEstados,G4,misFiltros)&amp;" de "&amp;SUM(misFiltros)&amp;")","")</f>
        <v>EN PROGRESO (3 de 61)</v>
      </c>
      <c r="I4" s="123"/>
      <c r="J4" s="123"/>
      <c r="K4" s="9" t="s">
        <v>0</v>
      </c>
      <c r="L4" s="25">
        <f>G4+1</f>
        <v>3</v>
      </c>
      <c r="M4" s="123" t="str" cm="1">
        <f t="array" aca="1" ref="M4" ca="1">IFERROR(INDEX(Configura!$B$9:$B$18,L4)&amp;" ("&amp;SUMIF(misEstados,L4,misFiltros)&amp;" de "&amp;SUM(misFiltros)&amp;")","")</f>
        <v>EN ESPERA (0 de 61)</v>
      </c>
      <c r="N4" s="123"/>
      <c r="O4" s="123"/>
      <c r="P4" s="9" t="s">
        <v>0</v>
      </c>
      <c r="Q4" s="25">
        <f>L4+1</f>
        <v>4</v>
      </c>
      <c r="R4" s="123" t="str" cm="1">
        <f t="array" aca="1" ref="R4" ca="1">IFERROR(INDEX(Configura!$B$9:$B$18,Q4)&amp;" ("&amp;SUMIF(misEstados,Q4,misFiltros)&amp;" de "&amp;SUM(misFiltros)&amp;")","")</f>
        <v>COMPLETADO (58 de 61)</v>
      </c>
      <c r="S4" s="123"/>
      <c r="T4" s="123"/>
      <c r="U4" s="9" t="s">
        <v>0</v>
      </c>
      <c r="V4" s="25">
        <f>Q4+1</f>
        <v>5</v>
      </c>
      <c r="W4" s="123" t="str" cm="1">
        <f t="array" aca="1" ref="W4" ca="1">IFERROR(INDEX(Configura!$B$9:$B$18,V4)&amp;" ("&amp;SUMIF(misEstados,V4,misFiltros)&amp;" de "&amp;SUM(misFiltros)&amp;")","")</f>
        <v>ARCHIVADO (0 de 61)</v>
      </c>
      <c r="X4" s="123"/>
      <c r="Y4" s="123"/>
      <c r="Z4" s="10" t="s">
        <v>0</v>
      </c>
      <c r="AA4" s="25">
        <f>V4+1</f>
        <v>6</v>
      </c>
      <c r="AB4" s="123" t="str" cm="1">
        <f t="array" aca="1" ref="AB4" ca="1">IFERROR(INDEX(Configura!$B$9:$B$18,AA4)&amp;" ("&amp;SUMIF(misEstados,AA4,misFiltros)&amp;" de "&amp;SUM(misFiltros)&amp;")","")</f>
        <v>POR HACER (0 de 61)</v>
      </c>
      <c r="AC4" s="123"/>
      <c r="AD4" s="123"/>
      <c r="AE4" s="10" t="s">
        <v>0</v>
      </c>
      <c r="AF4" s="25">
        <f>AA4+1</f>
        <v>7</v>
      </c>
      <c r="AG4" s="123" t="str" cm="1">
        <f t="array" aca="1" ref="AG4" ca="1">IFERROR(INDEX(Configura!$B$9:$B$18,AF4)&amp;" ("&amp;SUMIF(misEstados,AF4,misFiltros)&amp;" de "&amp;SUM(misFiltros)&amp;")","")</f>
        <v>EN PROGRESO (0 de 61)</v>
      </c>
      <c r="AH4" s="123"/>
      <c r="AI4" s="123"/>
      <c r="AJ4" s="10" t="s">
        <v>0</v>
      </c>
      <c r="AK4" s="25">
        <f>AF4+1</f>
        <v>8</v>
      </c>
      <c r="AL4" s="123" t="str" cm="1">
        <f t="array" aca="1" ref="AL4" ca="1">IFERROR(INDEX(Configura!$B$9:$B$18,AK4)&amp;" ("&amp;SUMIF(misEstados,AK4,misFiltros)&amp;" de "&amp;SUM(misFiltros)&amp;")","")</f>
        <v xml:space="preserve"> (0 de 61)</v>
      </c>
      <c r="AM4" s="123"/>
      <c r="AN4" s="123"/>
      <c r="AO4" s="10" t="s">
        <v>0</v>
      </c>
      <c r="AP4" s="25">
        <f>AK4+1</f>
        <v>9</v>
      </c>
      <c r="AQ4" s="123" t="str" cm="1">
        <f t="array" aca="1" ref="AQ4" ca="1">IFERROR(INDEX(Configura!$B$9:$B$18,AP4)&amp;" ("&amp;SUMIF(misEstados,AP4,misFiltros)&amp;" de "&amp;SUM(misFiltros)&amp;")","")</f>
        <v xml:space="preserve"> (0 de 61)</v>
      </c>
      <c r="AR4" s="123"/>
      <c r="AS4" s="123"/>
      <c r="AT4" s="10" t="s">
        <v>0</v>
      </c>
      <c r="AU4" s="25">
        <f>AP4+1</f>
        <v>10</v>
      </c>
      <c r="AV4" s="123" t="str" cm="1">
        <f t="array" aca="1" ref="AV4" ca="1">IFERROR(INDEX(Configura!$B$9:$B$18,AU4)&amp;" ("&amp;SUMIF(misEstados,AU4,misFiltros)&amp;" de "&amp;SUM(misFiltros)&amp;")","")</f>
        <v xml:space="preserve"> (0 de 61)</v>
      </c>
      <c r="AW4" s="123"/>
      <c r="AX4" s="123"/>
      <c r="AY4" s="10" t="s">
        <v>0</v>
      </c>
    </row>
    <row r="5" spans="2:51" ht="15.75" thickTop="1" x14ac:dyDescent="0.2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2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21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21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39:</v>
      </c>
      <c r="I6" s="121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 xml:space="preserve">Tercera entrevista con el cliente </v>
      </c>
      <c r="J6" s="121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21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21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21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21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21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21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21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21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21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21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21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21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21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21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21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21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2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21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21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21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Conversación para recabar nuevos requerimientos y retroalimentación.</v>
      </c>
      <c r="J7" s="121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21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21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21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21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21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21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21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21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21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21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21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21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21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21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21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21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2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21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21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21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46010</v>
      </c>
      <c r="J8" s="121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21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21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21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21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21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21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21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21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21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21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21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21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21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21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21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21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2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21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21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21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46010</v>
      </c>
      <c r="J9" s="121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21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21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21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21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21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21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21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21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21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21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21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21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21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21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21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21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2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21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21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21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46010</v>
      </c>
      <c r="J10" s="121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21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21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21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21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21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21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21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21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21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21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21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21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21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21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21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21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2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21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21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21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1 días</v>
      </c>
      <c r="J11" s="121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21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21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21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21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21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21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21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21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21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21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21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21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21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21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21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21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2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21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21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21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21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21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21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21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21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21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21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21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21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21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21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21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21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21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21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21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21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2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21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21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21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Cristian Becerra, Kevin Castillo, Ismael Silva</v>
      </c>
      <c r="J13" s="121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21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21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21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21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21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21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21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21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21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21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21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21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21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21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21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21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2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21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21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21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21" t="e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>#VALUE!</v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21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21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21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21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21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21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21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21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21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21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21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21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21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21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21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21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2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21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21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38:</v>
      </c>
      <c r="I15" s="121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>Revisión del primer sprint</v>
      </c>
      <c r="J15" s="121" t="e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21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21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60:</v>
      </c>
      <c r="S15" s="121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Diagrama de secuencia de analisis</v>
      </c>
      <c r="T15" s="121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21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21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21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21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21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21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21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21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21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21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21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21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2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21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21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121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>Sesión de demostración de avances con el equipo y stakeholders.</v>
      </c>
      <c r="J16" s="121" t="e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21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21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21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Modelo dinámico que ilustra el orden de interacción entre objetos para un caso de uso específico.</v>
      </c>
      <c r="T16" s="121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21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21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21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21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21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21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21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21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21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21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21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21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2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21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21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121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>46003</v>
      </c>
      <c r="J17" s="121" t="e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21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21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21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46031</v>
      </c>
      <c r="T17" s="121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21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21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21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21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21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21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21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21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21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21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21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21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2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21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21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121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>46003</v>
      </c>
      <c r="J18" s="121" t="e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21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21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21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46031</v>
      </c>
      <c r="T18" s="121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21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21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21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21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21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21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21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21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21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21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21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21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2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21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21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121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>46003</v>
      </c>
      <c r="J19" s="121" t="e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21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21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21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46031</v>
      </c>
      <c r="T19" s="121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21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21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21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21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21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21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21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21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21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21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21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21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2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21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21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121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>1 días</v>
      </c>
      <c r="J20" s="121" t="e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21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21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21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21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21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21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21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21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21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21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21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21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21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21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21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21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2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21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21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121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>0 días</v>
      </c>
      <c r="J21" s="121" t="e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21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21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21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21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21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21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21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21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21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21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21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21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21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21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21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21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2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21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21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121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>Ing. Jenny Ruiz</v>
      </c>
      <c r="J22" s="121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21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21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21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Ismael Silva</v>
      </c>
      <c r="T22" s="121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21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21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21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21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21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21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21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21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21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21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21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21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2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21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21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21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21" t="e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>#VALUE!</v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21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21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21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21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21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21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21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21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21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21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21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21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21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21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21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21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2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21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21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>Tarea 37:</v>
      </c>
      <c r="I24" s="121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>Caja blanca caja negra primer sprint</v>
      </c>
      <c r="J24" s="121" t="e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>#VALUE!</v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21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21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59:</v>
      </c>
      <c r="S24" s="121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 xml:space="preserve">Diagrama de casos de clases </v>
      </c>
      <c r="T24" s="121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21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21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21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21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21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21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21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21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21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21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21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21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2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21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21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>Descripción:</v>
      </c>
      <c r="I25" s="121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>Pruebas de software realizadas sobre las funcionalidades del primer sprint.</v>
      </c>
      <c r="J25" s="121" t="e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>#VALUE!</v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21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21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21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Modelo estático que muestra las clases principales del sistema y sus relaciones.</v>
      </c>
      <c r="T25" s="121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21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21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21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21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21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21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21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21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21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21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21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21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2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21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21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>Inicio:</v>
      </c>
      <c r="I26" s="121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>45987</v>
      </c>
      <c r="J26" s="121" t="e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>#VALUE!</v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21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21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21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46031</v>
      </c>
      <c r="T26" s="121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21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21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21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21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21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21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21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21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21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21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21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21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2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21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21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>Previsto:</v>
      </c>
      <c r="I27" s="121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>45994</v>
      </c>
      <c r="J27" s="121" t="e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>#VALUE!</v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21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21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21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46031</v>
      </c>
      <c r="T27" s="121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21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21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21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21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21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21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21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21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21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21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21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21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2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21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21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>Final:</v>
      </c>
      <c r="I28" s="121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>45994</v>
      </c>
      <c r="J28" s="121" t="e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>#VALUE!</v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21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21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21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46031</v>
      </c>
      <c r="T28" s="121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21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21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21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21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21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21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21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21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21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21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21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21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2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21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21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>Duración:</v>
      </c>
      <c r="I29" s="121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>8 días</v>
      </c>
      <c r="J29" s="121" t="e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>#VALUE!</v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21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21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21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1 días</v>
      </c>
      <c r="T29" s="121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21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21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21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21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21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21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21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21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21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21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21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21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2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21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21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>Retraso:</v>
      </c>
      <c r="I30" s="121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>0 días</v>
      </c>
      <c r="J30" s="121" t="e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>#VALUE!</v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21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21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21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21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21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21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21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21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21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21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21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21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21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21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21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21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2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21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21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>Asignado:</v>
      </c>
      <c r="I31" s="121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>Cristian Becerra, Kevin Castillo</v>
      </c>
      <c r="J31" s="121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21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21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21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Kevin Castillo</v>
      </c>
      <c r="T31" s="121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21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21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21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21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21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21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21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21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21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21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21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21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2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21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21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21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21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21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21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21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21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21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21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21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21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21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21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21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21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21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21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21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21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2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21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21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21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21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21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21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58:</v>
      </c>
      <c r="S33" s="121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Diagrama de casos de uso</v>
      </c>
      <c r="T33" s="121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21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21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21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21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21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21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21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21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21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21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21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21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2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21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21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21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21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21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21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21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Modelo gráfico que representa las interacciones entre los usuarios y el sistema.</v>
      </c>
      <c r="T34" s="121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21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21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21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21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21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21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21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21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21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21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21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21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2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21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21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21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21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21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21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21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46031</v>
      </c>
      <c r="T35" s="121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21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21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21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21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21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21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21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21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21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21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21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21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2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21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21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21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21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21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21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21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46031</v>
      </c>
      <c r="T36" s="121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21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21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21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21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21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21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21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21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21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21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21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21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2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21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21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21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21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21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21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21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46031</v>
      </c>
      <c r="T37" s="121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21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21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21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21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21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21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21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21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21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21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21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21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2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21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21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21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21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21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21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21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1 días</v>
      </c>
      <c r="T38" s="121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21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21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21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21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21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21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21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21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21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21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21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21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2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21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21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21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21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21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21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21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21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21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21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21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21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21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21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21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21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21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21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21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21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2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21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21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21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21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21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21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21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Cristian Becerra</v>
      </c>
      <c r="T40" s="121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21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21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21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21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21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21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21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21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21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21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21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21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2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21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21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21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21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21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21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21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21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21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21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21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21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21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21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21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21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21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21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21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21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2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21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21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21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21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21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21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57:</v>
      </c>
      <c r="S42" s="121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Entrevista N4 con el cliente</v>
      </c>
      <c r="T42" s="121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21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21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21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21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21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21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21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21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21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21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21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21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2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21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21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21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21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21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21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21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Cuarta sesión de validación y ajuste de requerimientos.</v>
      </c>
      <c r="T43" s="121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21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21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21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21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21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21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21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21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21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21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21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21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2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21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21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21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21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21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21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21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46028</v>
      </c>
      <c r="T44" s="121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21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21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21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21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21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21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21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21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21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21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21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21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2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21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21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21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21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21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21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21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46028</v>
      </c>
      <c r="T45" s="121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21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21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21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21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21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21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21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21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21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21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21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21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2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21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21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21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21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21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21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21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46028</v>
      </c>
      <c r="T46" s="121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21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21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21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21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21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21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21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21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21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21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21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21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2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21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21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21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21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21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21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21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1 días</v>
      </c>
      <c r="T47" s="121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21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21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21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21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21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21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21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21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21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21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21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21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2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21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21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21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21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21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21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21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21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21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21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21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21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21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21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21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21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21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21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21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21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2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21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21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21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21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21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21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21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Cristian Becerra, Kevin Castillo, Ismael Silva</v>
      </c>
      <c r="T49" s="121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21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21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21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21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21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21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21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21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21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21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21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21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2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21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21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21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21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21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21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21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21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21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21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21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21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21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21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21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21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21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21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21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21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2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21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21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21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21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21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21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56:</v>
      </c>
      <c r="S51" s="121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Caja blanca caja negra primer sprint 2</v>
      </c>
      <c r="T51" s="121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21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21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21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21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21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21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21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21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21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21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21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21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2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21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21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21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21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21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21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21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Pruebas de software realizadas sobre las funcionalidades del segundo sprint.</v>
      </c>
      <c r="T52" s="121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21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21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21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21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21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21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21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21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21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21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21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21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2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21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21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21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21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21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21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21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46026</v>
      </c>
      <c r="T53" s="121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21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21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21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21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21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21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21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21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21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21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21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21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2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21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21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21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21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21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21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21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46026</v>
      </c>
      <c r="T54" s="121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21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21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21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21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21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21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21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21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21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21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21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21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2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21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21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21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21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21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21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21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46026</v>
      </c>
      <c r="T55" s="121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21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21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21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21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21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21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21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21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21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21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21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21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2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21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21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21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21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21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21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21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1 días</v>
      </c>
      <c r="T56" s="121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21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21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21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21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21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21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21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21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21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21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21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21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2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21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21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21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21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21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21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21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21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21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21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21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21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21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21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21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21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21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21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21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21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2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21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21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21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21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21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21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21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Cristian Becerra, Kevin Castillo</v>
      </c>
      <c r="T58" s="121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21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21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21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21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21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21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21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21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21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21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21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21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2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21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21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21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21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21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21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21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21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21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21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21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21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21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21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21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21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21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21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21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21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2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21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21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21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21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21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21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55:</v>
      </c>
      <c r="S60" s="121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 xml:space="preserve">Maquetado de requisitos sprint 2 </v>
      </c>
      <c r="T60" s="121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21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21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21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21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21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21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21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21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21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21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21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21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2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21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21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21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21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21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21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21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Diseño visual de las interfaces para las nuevas funcionalidades del segundo ciclo.</v>
      </c>
      <c r="T61" s="121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21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21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21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21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21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21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21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21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21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21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21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21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2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21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21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21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21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21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21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21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46023</v>
      </c>
      <c r="T62" s="121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21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21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21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21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21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21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21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21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21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21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21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21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2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21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21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21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21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21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21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21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46023</v>
      </c>
      <c r="T63" s="121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21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21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21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21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21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21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21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21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21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21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21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21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2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21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21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21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21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21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21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21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46023</v>
      </c>
      <c r="T64" s="121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21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21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21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21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21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21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21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21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21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21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21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21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2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21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21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21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21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21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21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21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 días</v>
      </c>
      <c r="T65" s="121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21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21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21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21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21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21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21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21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21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21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21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21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2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21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21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21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21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21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21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21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21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21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21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21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21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21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21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21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21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21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21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21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21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2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21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21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21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21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21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21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21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Ismael Silva</v>
      </c>
      <c r="T67" s="121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21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21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21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21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21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21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21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21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21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21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21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21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2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21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21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21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21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21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21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21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21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21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21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21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21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21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21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21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21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21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21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21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21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2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21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21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21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21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21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21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54:</v>
      </c>
      <c r="S69" s="121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REQ006-3 Diseñar y desarrolar un formulario de gestion de usurios</v>
      </c>
      <c r="T69" s="121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21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21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21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21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21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21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21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21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21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21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21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21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2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21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21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21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21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21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21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21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Crear una interfaz para asignar y modificar roles de los usuarios.</v>
      </c>
      <c r="T70" s="121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21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21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21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21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21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21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21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21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21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21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21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21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2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21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21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21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21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21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21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21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46015</v>
      </c>
      <c r="T71" s="121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21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21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21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21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21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21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21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21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21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21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21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21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2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21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21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21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21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21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21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21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46017</v>
      </c>
      <c r="T72" s="121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21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21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21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21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21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21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21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21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21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21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21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21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2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21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21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21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21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21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21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21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46017</v>
      </c>
      <c r="T73" s="121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21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21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21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21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21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21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21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21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21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21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21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21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2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21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21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21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21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21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21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21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3 días</v>
      </c>
      <c r="T74" s="121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21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21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21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21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21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21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21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21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21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21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21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21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2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21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21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21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21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21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21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21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21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21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21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21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21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21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21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21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21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21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21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21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21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2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21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21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21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21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21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21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21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Ismael Silva</v>
      </c>
      <c r="T76" s="121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21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21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21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21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21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21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21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21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21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21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21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21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2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21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21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21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21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21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21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21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21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21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21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21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21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21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21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21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21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21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21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21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21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2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21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21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21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21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21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21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53:</v>
      </c>
      <c r="S78" s="121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 xml:space="preserve">REQ006-2: Definir y configurar los roles en el sistema </v>
      </c>
      <c r="T78" s="121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21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21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21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21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21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21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21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21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21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21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21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21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2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21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21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21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21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21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21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21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Establecer los roles (Administrador, Cocina, Cajero) y sus permisos.</v>
      </c>
      <c r="T79" s="121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21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21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21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21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21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21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21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21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21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21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21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21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2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21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21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21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21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21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21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21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46015</v>
      </c>
      <c r="T80" s="121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21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21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21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21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21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21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21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21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21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21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21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21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2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21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21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21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21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21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21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21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46017</v>
      </c>
      <c r="T81" s="121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21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21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21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21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21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21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21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21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21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21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21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21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2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21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21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21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21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21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21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21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46017</v>
      </c>
      <c r="T82" s="121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21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21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21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21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21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21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21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21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21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21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21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21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2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21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21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21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21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21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21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21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3 días</v>
      </c>
      <c r="T83" s="121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21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21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21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21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21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21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21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21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21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21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21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21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2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21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21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21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21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21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21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21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21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21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21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21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21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21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21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21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21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21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21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21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21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2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21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21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21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21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21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21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21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Ismael Silva</v>
      </c>
      <c r="T85" s="121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21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21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21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21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21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21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21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21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21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21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21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21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2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21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21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21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21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21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21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21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21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21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21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21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21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21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21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21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21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21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21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21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21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2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21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21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21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21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21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21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52:</v>
      </c>
      <c r="S87" s="121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REQ006-1: Implementar la logica de restriccion de acceso dependiendo el rol</v>
      </c>
      <c r="T87" s="121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21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21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21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21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21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21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21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21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21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21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21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21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2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21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21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21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21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21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21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21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Desarrollar la funcionalidad que limita las acciones según el tipo de usuario.</v>
      </c>
      <c r="T88" s="121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21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21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21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21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21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21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21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21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21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21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21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21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2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21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21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21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21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21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21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21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46015</v>
      </c>
      <c r="T89" s="121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21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21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21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21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21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21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21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21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21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21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21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21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2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21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21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21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21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21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21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21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46017</v>
      </c>
      <c r="T90" s="121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21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21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21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21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21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21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21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21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21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21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21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21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2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21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21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21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21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21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21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21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46017</v>
      </c>
      <c r="T91" s="121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21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21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21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21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21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21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21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21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21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21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21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21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2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21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21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21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21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21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21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21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3 días</v>
      </c>
      <c r="T92" s="121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21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21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21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21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21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21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21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21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21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21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21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21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2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21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21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21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21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21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21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21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21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21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21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21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21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21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21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21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21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21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21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21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21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2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21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21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21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21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21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21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21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Ismael Silva</v>
      </c>
      <c r="T94" s="121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21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21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21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21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21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21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21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21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21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21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21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21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2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21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21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21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21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21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21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21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21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21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21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21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21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21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21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21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21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21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21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21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21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2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21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21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21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21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21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21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51:</v>
      </c>
      <c r="S96" s="121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 xml:space="preserve">REQ006: Gestion de roles de usuario </v>
      </c>
      <c r="T96" s="121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21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21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21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21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21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21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21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21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21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21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21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21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2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21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21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21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21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21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21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21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Sistema para administrar permisos de acceso.</v>
      </c>
      <c r="T97" s="121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21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21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21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21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21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21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21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21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21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21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21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21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2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21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21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21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21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21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21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21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46015</v>
      </c>
      <c r="T98" s="121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21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21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21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21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21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21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21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21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21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21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21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21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2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21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21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21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21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21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21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21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46017</v>
      </c>
      <c r="T99" s="121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21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21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21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21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21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21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21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21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21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21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21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21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2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21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21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21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21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21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21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21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46017</v>
      </c>
      <c r="T100" s="121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21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21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21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21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21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21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21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21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21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21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21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21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2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21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21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21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21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21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21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21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3 días</v>
      </c>
      <c r="T101" s="121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21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21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21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21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21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21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21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21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21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21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21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21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2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21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21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21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21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21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21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21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21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21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21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21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21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21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21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21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21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21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21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21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21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2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21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21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21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21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21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21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21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Ismael Silva</v>
      </c>
      <c r="T103" s="121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21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21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21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21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21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21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21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21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21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21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21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21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2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21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21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21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21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21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21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21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21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21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21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21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21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21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21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21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21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21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21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21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21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2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21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21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21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21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21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21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50:</v>
      </c>
      <c r="S105" s="121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 xml:space="preserve">REQ005-4: Creacion de boton guardar cambios </v>
      </c>
      <c r="T105" s="121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21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21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21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21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21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21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21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21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21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21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21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21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2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21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21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21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21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21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21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21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Botón para confirmar y almacenar las nuevas credenciales.</v>
      </c>
      <c r="T106" s="121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21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21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21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21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21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21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21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21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21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21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21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21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2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21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21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21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21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21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21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21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46017</v>
      </c>
      <c r="T107" s="121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21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21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21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21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21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21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21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21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21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21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21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21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2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21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21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21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21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21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21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21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46020</v>
      </c>
      <c r="T108" s="121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21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21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21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21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21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21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21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21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21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21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21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21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2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21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21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21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21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21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21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21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46020</v>
      </c>
      <c r="T109" s="121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21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21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21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21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21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21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21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21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21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21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21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21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2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21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21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21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21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21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21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21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4 días</v>
      </c>
      <c r="T110" s="121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21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21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21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21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21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21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21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21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21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21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21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21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2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21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21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21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21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21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21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21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21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21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21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21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21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21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21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21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21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21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21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21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21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2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21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21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21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21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21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21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21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Cristian Becerra</v>
      </c>
      <c r="T112" s="121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21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21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21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21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21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21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21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21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21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21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21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21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2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21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21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21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21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21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21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21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21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21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21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21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21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21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21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21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21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21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21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21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21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2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21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21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21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21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21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21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49:</v>
      </c>
      <c r="S114" s="121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REQ005-3: Apartado de cambio de contraseñas</v>
      </c>
      <c r="T114" s="121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21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21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21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21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21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21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21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21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21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21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21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21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2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21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21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21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21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21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21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21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Interfaz para que el usuario modifique su contraseña.</v>
      </c>
      <c r="T115" s="121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21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21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21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21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21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21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21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21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21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21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21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21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2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21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21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21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21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21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21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21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46017</v>
      </c>
      <c r="T116" s="121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21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21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21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21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21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21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21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21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21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21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21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21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2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21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21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21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21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21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21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21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46020</v>
      </c>
      <c r="T117" s="121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21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21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21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21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21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21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21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21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21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21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21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21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2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21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21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21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21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21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21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21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46020</v>
      </c>
      <c r="T118" s="121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21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21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21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21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21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21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21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21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21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21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21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21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2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21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21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21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21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21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21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21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4 días</v>
      </c>
      <c r="T119" s="121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21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21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21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21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21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21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21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21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21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21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21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21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2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21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21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21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21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21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21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21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21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21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21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21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21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21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21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21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21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21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21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21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21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2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21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21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21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21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21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21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21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Cristian Becerra</v>
      </c>
      <c r="T121" s="121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21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21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21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21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21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21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21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21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21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21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21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21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2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21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21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21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21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21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21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21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21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21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21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21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21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21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21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21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21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21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21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21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21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2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21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21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21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21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21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21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48:</v>
      </c>
      <c r="S123" s="121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REQ005-2: El sistema debera validar el sistema a traves de preguntas</v>
      </c>
      <c r="T123" s="121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21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21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21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21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21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21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21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21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21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21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21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21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2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21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21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21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21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21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21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21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Autenticar al usuario con preguntas de seguridad antes de permitir cambios.</v>
      </c>
      <c r="T124" s="121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21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21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21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21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21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21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21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21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21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21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21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21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2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21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21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21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21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21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21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21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46017</v>
      </c>
      <c r="T125" s="121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21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21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21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21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21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21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21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21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21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21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21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21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2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21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21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21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21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21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21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21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46020</v>
      </c>
      <c r="T126" s="121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21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21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21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21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21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21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21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21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21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21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21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21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2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21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21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21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21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21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21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21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46020</v>
      </c>
      <c r="T127" s="121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21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21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21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21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21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21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21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21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21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21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21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21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2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21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21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21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21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21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21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21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4 días</v>
      </c>
      <c r="T128" s="121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21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21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21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21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21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21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21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21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21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21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21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21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2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21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21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21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21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21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21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21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21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21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21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21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21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21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21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21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21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21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21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21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21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2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21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21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21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21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21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21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21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Cristian Becerra</v>
      </c>
      <c r="T130" s="121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21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21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21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21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21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21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21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21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21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21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21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21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2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21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21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21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21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21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21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21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21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21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21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21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21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21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21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21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21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21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21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21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21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2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21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21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21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21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21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21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47:</v>
      </c>
      <c r="S132" s="121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 xml:space="preserve">REQ005-1: Crear un aparado en pantalla de cambio de usurio </v>
      </c>
      <c r="T132" s="121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21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21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21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21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21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21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21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21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21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21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21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21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2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21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21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21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21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21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21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21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Interfaz para que el usuario modifique su nombre de acceso.</v>
      </c>
      <c r="T133" s="121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21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21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21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21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21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21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21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21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21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21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21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21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2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21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21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21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21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21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21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21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46017</v>
      </c>
      <c r="T134" s="121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21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21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21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21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21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21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21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21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21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21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21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21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2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21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21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21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21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21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21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21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46020</v>
      </c>
      <c r="T135" s="121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21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21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21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21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21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21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21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21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21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21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21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21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2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21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21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21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21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21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21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21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46020</v>
      </c>
      <c r="T136" s="121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21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21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21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21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21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21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21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21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21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21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21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21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2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21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21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21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21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21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21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21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4 días</v>
      </c>
      <c r="T137" s="121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21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21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21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21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21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21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21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21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21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21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21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21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2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21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21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21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21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21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21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21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21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21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21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21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21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21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21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21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21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21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21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21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21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2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21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21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21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21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21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21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21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Cristian Becerra</v>
      </c>
      <c r="T139" s="121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21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21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21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21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21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21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21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21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21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21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21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21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2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21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21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21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21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21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21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21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21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21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21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21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21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21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21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21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21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21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21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21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21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2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21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21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21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21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21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21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46:</v>
      </c>
      <c r="S141" s="121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REQ005: Actualizacion de credenciales</v>
      </c>
      <c r="T141" s="121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21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21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21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21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21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21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21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21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21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21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21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21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2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21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21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21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21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21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21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21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Módulo para modificar usuario y contraseña.</v>
      </c>
      <c r="T142" s="121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21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21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21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21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21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21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21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21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21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21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21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21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2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21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21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21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21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21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21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21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46017</v>
      </c>
      <c r="T143" s="121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21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21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21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21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21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21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21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21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21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21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21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21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2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21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21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21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21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21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21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21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46020</v>
      </c>
      <c r="T144" s="121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21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21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21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21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21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21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21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21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21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21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21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21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2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21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21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21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21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21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21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21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46020</v>
      </c>
      <c r="T145" s="121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21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21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21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21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21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21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21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21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21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21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21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21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2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21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21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21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21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21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21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21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4 días</v>
      </c>
      <c r="T146" s="121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21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21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21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21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21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21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21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21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21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21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21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21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2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21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21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21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21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21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21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21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21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21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21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21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21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21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21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21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21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21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21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21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21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2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21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21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21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21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21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21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21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Cristian Becerra</v>
      </c>
      <c r="T148" s="121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21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21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21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21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21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21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21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21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21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21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21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21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2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21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21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21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21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21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21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21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21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21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21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21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21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21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21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21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21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21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21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21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21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2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21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21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21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21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21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21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45:</v>
      </c>
      <c r="S150" s="121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 xml:space="preserve">REQ004-4: Generar reporte </v>
      </c>
      <c r="T150" s="121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21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21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21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21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21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21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21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21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21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21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21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21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2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21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21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21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21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21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21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21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Permitir descargar reporte en formato PDF.</v>
      </c>
      <c r="T151" s="121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21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21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21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21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21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21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21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21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21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21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21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21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2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21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21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21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21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21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21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21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46013</v>
      </c>
      <c r="T152" s="121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21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21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21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21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21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21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21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21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21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21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21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21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2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21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21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21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21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21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21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21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46015</v>
      </c>
      <c r="T153" s="121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21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21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21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21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21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21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21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21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21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21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21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21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2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21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21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21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21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21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21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21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46015</v>
      </c>
      <c r="T154" s="121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21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21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21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21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21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21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21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21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21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21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21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21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2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21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21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21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21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21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21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21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3 días</v>
      </c>
      <c r="T155" s="121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21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21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21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21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21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21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21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21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21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21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21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21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2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21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21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21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21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21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21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21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21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21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21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21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21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21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21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21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21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21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21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21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21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2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21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21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21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21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21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21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21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Kevin Castillo</v>
      </c>
      <c r="T157" s="121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21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21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21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21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21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21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21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21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21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21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21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21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2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21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21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21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21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21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21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21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21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21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21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21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21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21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21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21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21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21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21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21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21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2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21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21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21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21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21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21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44:</v>
      </c>
      <c r="S159" s="121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 xml:space="preserve">REQ004-3: Incluir datos </v>
      </c>
      <c r="T159" s="121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21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21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21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21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21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21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21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21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21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21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21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21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2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21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21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21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21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21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21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21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Reporte debe incluir fecha, productos y monto por transacción.</v>
      </c>
      <c r="T160" s="121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21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21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21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21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21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21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21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21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21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21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21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21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2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21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21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21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21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21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21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21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46013</v>
      </c>
      <c r="T161" s="121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21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21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21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21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21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21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21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21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21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21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21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21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2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21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21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21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21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21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21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21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46015</v>
      </c>
      <c r="T162" s="121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21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21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21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21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21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21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21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21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21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21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21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21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2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21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21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21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21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21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21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21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46015</v>
      </c>
      <c r="T163" s="121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21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21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21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21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21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21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21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21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21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21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21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21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2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21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21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21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21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21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21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21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3 días</v>
      </c>
      <c r="T164" s="121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21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21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21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21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21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21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21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21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21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21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21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21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2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21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21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21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21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21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21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21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21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21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21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21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21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21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21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21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21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21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21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21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21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2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21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21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21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21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21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21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21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Kevin Castillo</v>
      </c>
      <c r="T166" s="121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21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21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21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21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21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21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21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21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21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21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21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21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2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21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21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21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21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21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21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21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21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21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21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21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21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21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21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21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21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21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21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21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21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2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21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21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21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21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21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21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43:</v>
      </c>
      <c r="S168" s="121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 xml:space="preserve">REQ004-2: Calcular y mostrar total </v>
      </c>
      <c r="T168" s="121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21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21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21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21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21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21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21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21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21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21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21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21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2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21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21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21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21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21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21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21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Mostrar el monto total de ventas de cada día.</v>
      </c>
      <c r="T169" s="121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21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21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21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21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21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21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21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21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21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21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21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21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2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21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21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21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21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21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21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21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46013</v>
      </c>
      <c r="T170" s="121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21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21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21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21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21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21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21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21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21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21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21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21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2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21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21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21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21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21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21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21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46015</v>
      </c>
      <c r="T171" s="121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21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21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21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21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21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21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21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21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21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21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21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21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2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21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21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21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21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21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21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21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46015</v>
      </c>
      <c r="T172" s="121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21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21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21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21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21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21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21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21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21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21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21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21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2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21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21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21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21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21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21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21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3 días</v>
      </c>
      <c r="T173" s="121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21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21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21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21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21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21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21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21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21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21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21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21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2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21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21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21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21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21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21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21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121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21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21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21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21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21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21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21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21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21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21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21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21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2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21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21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21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21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21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21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21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Kevin Castillo</v>
      </c>
      <c r="T175" s="121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21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21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21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21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21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21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21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21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21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21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21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21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2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21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21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21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21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21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21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21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21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21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21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21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21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21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21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21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21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21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21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21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21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2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21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21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21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21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21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21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42:</v>
      </c>
      <c r="S177" s="121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 xml:space="preserve">REQ004-1: Generar reportes diarios </v>
      </c>
      <c r="T177" s="121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21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21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21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21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21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21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21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21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21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21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21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21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2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21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21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21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21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21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21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21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>Crear reportes del total de ventas por día.</v>
      </c>
      <c r="T178" s="121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21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21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21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21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21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21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21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21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21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21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21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21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2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21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21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21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21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21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21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21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46013</v>
      </c>
      <c r="T179" s="121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21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21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21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21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21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21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21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21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21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21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21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21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2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21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21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21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21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21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21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21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46015</v>
      </c>
      <c r="T180" s="121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21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21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21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21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21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21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21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21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21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21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21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21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2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21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21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21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21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21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21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21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46015</v>
      </c>
      <c r="T181" s="121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21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21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21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21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21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21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21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21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21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21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21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21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2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21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21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21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21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21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21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21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3 días</v>
      </c>
      <c r="T182" s="121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21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21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21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21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21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21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21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21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21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21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21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21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2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21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21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21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21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21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21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21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21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21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21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21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21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21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21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21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21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21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21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21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21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2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21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21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21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21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21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21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21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Kevin Castillo</v>
      </c>
      <c r="T184" s="121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21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21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21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21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21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21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21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21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21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21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21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21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2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21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21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21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21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21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21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21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21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21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21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21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21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21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21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21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21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21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21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21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21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2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21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21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21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21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21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21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41:</v>
      </c>
      <c r="S186" s="121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 xml:space="preserve">REQ004: Reportes de ventas </v>
      </c>
      <c r="T186" s="121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21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21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21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21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21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21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21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21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21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21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21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21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2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21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21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21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21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21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21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21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>Módulo para generar informes de ventas del restaurante.</v>
      </c>
      <c r="T187" s="121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21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21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21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21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21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21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21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21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21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21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21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21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2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21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21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21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21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21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21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21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46013</v>
      </c>
      <c r="T188" s="121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21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21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21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21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21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21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21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21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21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21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21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21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2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21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21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21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21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21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21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21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46015</v>
      </c>
      <c r="T189" s="121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21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21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21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21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21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21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21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21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21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21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21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21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2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21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21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21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21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21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21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21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46015</v>
      </c>
      <c r="T190" s="121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21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21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21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21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21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21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21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21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21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21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21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21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2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21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21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21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21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21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21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21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3 días</v>
      </c>
      <c r="T191" s="121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21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21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21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21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21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21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21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21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21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21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21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21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2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21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21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21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21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21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21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21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21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21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21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21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21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21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21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21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21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21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21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21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21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2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21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21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21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21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21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21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21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Kevin Castillo</v>
      </c>
      <c r="T193" s="121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21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21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21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21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21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21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21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21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21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21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21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21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2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21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21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21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21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21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21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21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21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21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21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21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21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21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21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21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21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21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21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21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21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2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21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21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21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21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21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21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40:</v>
      </c>
      <c r="S195" s="121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 xml:space="preserve">Funcionalidades segundo sprint </v>
      </c>
      <c r="T195" s="121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21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21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21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21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21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21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21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21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21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21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21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21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2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21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21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21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21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21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21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21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>Requisitos del segundo ciclo de desarrollo.</v>
      </c>
      <c r="T196" s="121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21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21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21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21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21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21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21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21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21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21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21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21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2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21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21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21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21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21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21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21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46013</v>
      </c>
      <c r="T197" s="121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21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21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21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21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21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21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21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21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21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21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21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21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2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21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21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21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21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21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21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21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46028</v>
      </c>
      <c r="T198" s="121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21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21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21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21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21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21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21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21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21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21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21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21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2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21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21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21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21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21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21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21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46028</v>
      </c>
      <c r="T199" s="121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21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21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21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21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21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21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21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21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21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21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21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21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2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21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21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21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21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21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21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21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16 días</v>
      </c>
      <c r="T200" s="121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21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21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21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21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21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21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21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21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21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21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21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21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.75" thickBot="1" x14ac:dyDescent="0.3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22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22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22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22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22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22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22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122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22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22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22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22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22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22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22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22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22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22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22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22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25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 filterMode="1">
    <tabColor rgb="FF00B0F0"/>
    <pageSetUpPr fitToPage="1"/>
  </sheetPr>
  <dimension ref="A1:K101"/>
  <sheetViews>
    <sheetView showGridLines="0" tabSelected="1" zoomScale="122" zoomScaleNormal="122" workbookViewId="0">
      <pane ySplit="1" topLeftCell="A2" activePane="bottomLeft" state="frozen"/>
      <selection pane="bottomLeft" activeCell="J51" sqref="J51"/>
    </sheetView>
  </sheetViews>
  <sheetFormatPr baseColWidth="10" defaultColWidth="0" defaultRowHeight="15" zeroHeight="1" x14ac:dyDescent="0.25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140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85546875" style="3" customWidth="1"/>
    <col min="12" max="16384" width="10.85546875" style="2" hidden="1"/>
  </cols>
  <sheetData>
    <row r="1" spans="1:11" x14ac:dyDescent="0.2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30" x14ac:dyDescent="0.25">
      <c r="A2" s="91" t="s">
        <v>2</v>
      </c>
      <c r="B2" s="92" t="s">
        <v>3</v>
      </c>
      <c r="C2" s="103" t="s">
        <v>4</v>
      </c>
      <c r="D2" s="112" t="s">
        <v>5</v>
      </c>
      <c r="E2" s="102">
        <v>45947</v>
      </c>
      <c r="F2" s="93">
        <v>45953</v>
      </c>
      <c r="G2" s="93">
        <v>45953</v>
      </c>
      <c r="H2" s="43" t="str">
        <f>IF(Datos!$G2&gt;0,Datos!$G2-Datos!$E2+1 &amp; " " &amp; Idiomas!$A$29,"")</f>
        <v>7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6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45" x14ac:dyDescent="0.25">
      <c r="A3" s="94" t="s">
        <v>2</v>
      </c>
      <c r="B3" s="95" t="s">
        <v>7</v>
      </c>
      <c r="C3" s="3" t="s">
        <v>8</v>
      </c>
      <c r="D3" s="113" t="s">
        <v>9</v>
      </c>
      <c r="E3" s="104">
        <v>45946</v>
      </c>
      <c r="F3" s="96">
        <v>45959</v>
      </c>
      <c r="G3" s="96">
        <v>45959</v>
      </c>
      <c r="H3" s="45" t="str">
        <f>IF(Datos!$G3&gt;0,Datos!$G3-Datos!$E3+1 &amp; " " &amp; Idiomas!$A$29,"")</f>
        <v>14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10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25">
      <c r="A4" s="91" t="s">
        <v>2</v>
      </c>
      <c r="B4" s="92" t="s">
        <v>7</v>
      </c>
      <c r="C4" s="92" t="s">
        <v>11</v>
      </c>
      <c r="D4" s="114" t="s">
        <v>12</v>
      </c>
      <c r="E4" s="102">
        <v>45942</v>
      </c>
      <c r="F4" s="93">
        <v>45975</v>
      </c>
      <c r="G4" s="93">
        <v>45975</v>
      </c>
      <c r="H4" s="43" t="str">
        <f>IF(Datos!$G4&gt;0,Datos!$G4-Datos!$E4+1 &amp; " " &amp; Idiomas!$A$29,"")</f>
        <v>34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13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25">
      <c r="A5" s="94" t="s">
        <v>2</v>
      </c>
      <c r="B5" s="95" t="s">
        <v>7</v>
      </c>
      <c r="C5" s="3" t="s">
        <v>14</v>
      </c>
      <c r="D5" s="115" t="s">
        <v>15</v>
      </c>
      <c r="E5" s="96">
        <v>45942</v>
      </c>
      <c r="F5" s="96">
        <v>45975</v>
      </c>
      <c r="G5" s="96">
        <v>45975</v>
      </c>
      <c r="H5" s="45" t="str">
        <f>IF(Datos!$G5&gt;0,Datos!$G5-Datos!$E5+1 &amp; " " &amp; Idiomas!$A$29,"")</f>
        <v>34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10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25">
      <c r="A6" s="91" t="s">
        <v>2</v>
      </c>
      <c r="B6" s="92" t="s">
        <v>7</v>
      </c>
      <c r="C6" s="106" t="s">
        <v>16</v>
      </c>
      <c r="D6" s="112" t="s">
        <v>17</v>
      </c>
      <c r="E6" s="93">
        <v>45942</v>
      </c>
      <c r="F6" s="93">
        <v>45975</v>
      </c>
      <c r="G6" s="93">
        <v>45975</v>
      </c>
      <c r="H6" s="43" t="str">
        <f>IF(Datos!$G6&gt;0,Datos!$G6-Datos!$E6+1 &amp; " " &amp; Idiomas!$A$29,"")</f>
        <v>34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6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25">
      <c r="A7" s="94" t="s">
        <v>2</v>
      </c>
      <c r="B7" s="95" t="s">
        <v>7</v>
      </c>
      <c r="C7" s="105" t="s">
        <v>18</v>
      </c>
      <c r="D7" s="115" t="s">
        <v>19</v>
      </c>
      <c r="E7" s="96">
        <v>45942</v>
      </c>
      <c r="F7" s="96">
        <v>45975</v>
      </c>
      <c r="G7" s="96">
        <v>45975</v>
      </c>
      <c r="H7" s="45" t="str">
        <f>IF(Datos!$G7&gt;0,Datos!$G7-Datos!$E7+1 &amp; " " &amp; Idiomas!$A$29,"")</f>
        <v>34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6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25">
      <c r="A8" s="91" t="s">
        <v>2</v>
      </c>
      <c r="B8" s="92" t="s">
        <v>7</v>
      </c>
      <c r="C8" s="108" t="s">
        <v>20</v>
      </c>
      <c r="D8" s="112" t="s">
        <v>21</v>
      </c>
      <c r="E8" s="109">
        <v>45942</v>
      </c>
      <c r="F8" s="93">
        <v>45975</v>
      </c>
      <c r="G8" s="109">
        <v>45975</v>
      </c>
      <c r="H8" s="43" t="str">
        <f>IF(Datos!$G8&gt;0,Datos!$G8-Datos!$E8+1 &amp; " " &amp; Idiomas!$A$29,"")</f>
        <v>34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10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25">
      <c r="A9" s="94" t="s">
        <v>2</v>
      </c>
      <c r="B9" s="95" t="s">
        <v>7</v>
      </c>
      <c r="C9" s="105" t="s">
        <v>22</v>
      </c>
      <c r="D9" s="115" t="s">
        <v>23</v>
      </c>
      <c r="E9" s="96">
        <v>45942</v>
      </c>
      <c r="F9" s="96">
        <v>45975</v>
      </c>
      <c r="G9" s="96">
        <v>45975</v>
      </c>
      <c r="H9" s="45" t="str">
        <f>IF(Datos!$G9&gt;0,Datos!$G9-Datos!$E9+1 &amp; " " &amp; Idiomas!$A$29,"")</f>
        <v>34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13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25">
      <c r="A10" s="91" t="s">
        <v>2</v>
      </c>
      <c r="B10" s="92" t="s">
        <v>7</v>
      </c>
      <c r="C10" s="106" t="s">
        <v>24</v>
      </c>
      <c r="D10" s="114" t="s">
        <v>25</v>
      </c>
      <c r="E10" s="93">
        <v>45942</v>
      </c>
      <c r="F10" s="93">
        <v>45975</v>
      </c>
      <c r="G10" s="93">
        <v>45975</v>
      </c>
      <c r="H10" s="43" t="str">
        <f>IF(Datos!$G10&gt;0,Datos!$G10-Datos!$E10+1 &amp; " " &amp; Idiomas!$A$29,"")</f>
        <v>34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13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25">
      <c r="A11" s="94" t="s">
        <v>2</v>
      </c>
      <c r="B11" s="95" t="s">
        <v>26</v>
      </c>
      <c r="C11" s="105" t="s">
        <v>27</v>
      </c>
      <c r="D11" s="115" t="s">
        <v>28</v>
      </c>
      <c r="E11" s="97">
        <v>45942</v>
      </c>
      <c r="F11" s="96">
        <v>45975</v>
      </c>
      <c r="G11" s="96">
        <v>45975</v>
      </c>
      <c r="H11" s="45" t="str">
        <f>IF(Datos!$G11&gt;0,Datos!$G11-Datos!$E11+1 &amp; " " &amp; Idiomas!$A$29,"")</f>
        <v>34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13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30" x14ac:dyDescent="0.25">
      <c r="A12" s="91" t="s">
        <v>2</v>
      </c>
      <c r="B12" s="92" t="s">
        <v>7</v>
      </c>
      <c r="C12" s="106" t="s">
        <v>29</v>
      </c>
      <c r="D12" s="112" t="s">
        <v>30</v>
      </c>
      <c r="E12" s="98">
        <v>45953</v>
      </c>
      <c r="F12" s="93">
        <v>45966</v>
      </c>
      <c r="G12" s="93">
        <v>45966</v>
      </c>
      <c r="H12" s="43" t="str">
        <f>IF(Datos!$G12&gt;0,Datos!$G12-Datos!$E12+1 &amp; " " &amp; Idiomas!$A$29,"")</f>
        <v>14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10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30" x14ac:dyDescent="0.25">
      <c r="A13" s="94" t="s">
        <v>2</v>
      </c>
      <c r="B13" s="95" t="s">
        <v>3</v>
      </c>
      <c r="C13" s="107" t="s">
        <v>31</v>
      </c>
      <c r="D13" s="113" t="s">
        <v>32</v>
      </c>
      <c r="E13" s="96">
        <v>45966</v>
      </c>
      <c r="F13" s="96">
        <v>45966</v>
      </c>
      <c r="G13" s="96">
        <v>45966</v>
      </c>
      <c r="H13" s="45" t="str">
        <f>IF(Datos!$G13&gt;0,Datos!$G13-Datos!$E13+1 &amp; " " &amp; Idiomas!$A$29,"")</f>
        <v>1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33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30" x14ac:dyDescent="0.25">
      <c r="A14" s="91" t="s">
        <v>2</v>
      </c>
      <c r="B14" s="92" t="s">
        <v>26</v>
      </c>
      <c r="C14" s="106" t="s">
        <v>34</v>
      </c>
      <c r="D14" s="112" t="s">
        <v>35</v>
      </c>
      <c r="E14" s="109">
        <v>45953</v>
      </c>
      <c r="F14" s="93">
        <v>45966</v>
      </c>
      <c r="G14" s="109">
        <v>45966</v>
      </c>
      <c r="H14" s="43" t="str">
        <f>IF(Datos!$G14&gt;0,Datos!$G14-Datos!$E14+1 &amp; " " &amp; Idiomas!$A$29,"")</f>
        <v>14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33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25">
      <c r="A15" s="94" t="s">
        <v>2</v>
      </c>
      <c r="B15" s="95" t="s">
        <v>3</v>
      </c>
      <c r="C15" s="105" t="s">
        <v>36</v>
      </c>
      <c r="D15" s="115" t="s">
        <v>37</v>
      </c>
      <c r="E15" s="119">
        <v>45971</v>
      </c>
      <c r="F15" s="119">
        <v>46028</v>
      </c>
      <c r="G15" s="119">
        <v>46028</v>
      </c>
      <c r="H15" s="45" t="str">
        <f>IF(Datos!$G15&gt;0,Datos!$G15-Datos!$E15+1 &amp; " " &amp; Idiomas!$A$29,"")</f>
        <v>58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33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30" x14ac:dyDescent="0.25">
      <c r="A16" s="91" t="s">
        <v>2</v>
      </c>
      <c r="B16" s="92" t="s">
        <v>3</v>
      </c>
      <c r="C16" s="111" t="s">
        <v>38</v>
      </c>
      <c r="D16" s="112" t="s">
        <v>39</v>
      </c>
      <c r="E16" s="109">
        <v>45989</v>
      </c>
      <c r="F16" s="109">
        <v>45989</v>
      </c>
      <c r="G16" s="109">
        <v>45989</v>
      </c>
      <c r="H16" s="43" t="str">
        <f>IF(Datos!$G16&gt;0,Datos!$G16-Datos!$E16+1 &amp; " " &amp; Idiomas!$A$29,"")</f>
        <v>1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33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25">
      <c r="A17" s="94" t="s">
        <v>2</v>
      </c>
      <c r="B17" s="95" t="s">
        <v>3</v>
      </c>
      <c r="C17" s="105" t="s">
        <v>40</v>
      </c>
      <c r="D17" s="113" t="s">
        <v>41</v>
      </c>
      <c r="E17" s="119">
        <v>45985</v>
      </c>
      <c r="F17" s="119">
        <v>46027</v>
      </c>
      <c r="G17" s="119">
        <v>46027</v>
      </c>
      <c r="H17" s="45" t="str">
        <f>IF(Datos!$G17&gt;0,Datos!$G17-Datos!$E17+1 &amp; " " &amp; Idiomas!$A$29,"")</f>
        <v>43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33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25">
      <c r="A18" s="91" t="s">
        <v>2</v>
      </c>
      <c r="B18" s="92" t="s">
        <v>7</v>
      </c>
      <c r="C18" s="108" t="s">
        <v>42</v>
      </c>
      <c r="D18" s="114" t="s">
        <v>43</v>
      </c>
      <c r="E18" s="118">
        <v>45984</v>
      </c>
      <c r="F18" s="118">
        <v>45984</v>
      </c>
      <c r="G18" s="118">
        <v>45984</v>
      </c>
      <c r="H18" s="43" t="str">
        <f>IF(Datos!$G18&gt;0,Datos!$G18-Datos!$E18+1 &amp; " " &amp; Idiomas!$A$29,"")</f>
        <v>1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33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25">
      <c r="A19" s="94" t="s">
        <v>2</v>
      </c>
      <c r="B19" s="95" t="s">
        <v>3</v>
      </c>
      <c r="C19" s="105" t="s">
        <v>44</v>
      </c>
      <c r="D19" s="115" t="s">
        <v>45</v>
      </c>
      <c r="E19" s="119">
        <v>45997</v>
      </c>
      <c r="F19" s="119">
        <v>46012</v>
      </c>
      <c r="G19" s="119">
        <v>46012</v>
      </c>
      <c r="H19" s="45" t="str">
        <f>IF(Datos!$G19&gt;0,Datos!$G19-Datos!$E19+1 &amp; " " &amp; Idiomas!$A$29,"")</f>
        <v>16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33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25">
      <c r="A20" s="91" t="s">
        <v>2</v>
      </c>
      <c r="B20" s="92" t="s">
        <v>3</v>
      </c>
      <c r="C20" s="108" t="s">
        <v>46</v>
      </c>
      <c r="D20" s="114" t="s">
        <v>47</v>
      </c>
      <c r="E20" s="118">
        <v>45997</v>
      </c>
      <c r="F20" s="118">
        <v>46003</v>
      </c>
      <c r="G20" s="118">
        <v>46003</v>
      </c>
      <c r="H20" s="43" t="str">
        <f>IF(Datos!$G20&gt;0,Datos!$G20-Datos!$E20+1 &amp; " " &amp; Idiomas!$A$29,"")</f>
        <v>7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6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ht="30" x14ac:dyDescent="0.25">
      <c r="A21" s="94" t="s">
        <v>2</v>
      </c>
      <c r="B21" s="95" t="s">
        <v>3</v>
      </c>
      <c r="C21" s="107" t="s">
        <v>48</v>
      </c>
      <c r="D21" s="113" t="s">
        <v>49</v>
      </c>
      <c r="E21" s="119">
        <v>45997</v>
      </c>
      <c r="F21" s="119">
        <v>46003</v>
      </c>
      <c r="G21" s="119">
        <v>46003</v>
      </c>
      <c r="H21" s="45" t="str">
        <f>IF(Datos!$G21&gt;0,Datos!$G21-Datos!$E21+1 &amp; " " &amp; Idiomas!$A$29,"")</f>
        <v>7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6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25">
      <c r="A22" s="91" t="s">
        <v>2</v>
      </c>
      <c r="B22" s="92" t="s">
        <v>3</v>
      </c>
      <c r="C22" s="108" t="s">
        <v>50</v>
      </c>
      <c r="D22" s="114" t="s">
        <v>51</v>
      </c>
      <c r="E22" s="118">
        <v>45997</v>
      </c>
      <c r="F22" s="118">
        <v>46003</v>
      </c>
      <c r="G22" s="118">
        <v>46003</v>
      </c>
      <c r="H22" s="43" t="str">
        <f>IF(Datos!$G22&gt;0,Datos!$G22-Datos!$E22+1 &amp; " " &amp; Idiomas!$A$29,"")</f>
        <v>7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6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25">
      <c r="A23" s="94" t="s">
        <v>2</v>
      </c>
      <c r="B23" s="95" t="s">
        <v>3</v>
      </c>
      <c r="C23" s="105" t="s">
        <v>52</v>
      </c>
      <c r="D23" s="115" t="s">
        <v>53</v>
      </c>
      <c r="E23" s="119">
        <v>45997</v>
      </c>
      <c r="F23" s="119">
        <v>46003</v>
      </c>
      <c r="G23" s="119">
        <v>46003</v>
      </c>
      <c r="H23" s="45" t="str">
        <f>IF(Datos!$G23&gt;0,Datos!$G23-Datos!$E23+1 &amp; " " &amp; Idiomas!$A$29,"")</f>
        <v>7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6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25">
      <c r="A24" s="91" t="s">
        <v>2</v>
      </c>
      <c r="B24" s="92" t="s">
        <v>3</v>
      </c>
      <c r="C24" s="108" t="s">
        <v>54</v>
      </c>
      <c r="D24" s="114" t="s">
        <v>55</v>
      </c>
      <c r="E24" s="118">
        <v>45997</v>
      </c>
      <c r="F24" s="118">
        <v>46003</v>
      </c>
      <c r="G24" s="118">
        <v>46003</v>
      </c>
      <c r="H24" s="43" t="str">
        <f>IF(Datos!$G24&gt;0,Datos!$G24-Datos!$E24+1 &amp; " " &amp; Idiomas!$A$29,"")</f>
        <v>7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6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25">
      <c r="A25" s="94" t="s">
        <v>2</v>
      </c>
      <c r="B25" s="95" t="s">
        <v>3</v>
      </c>
      <c r="C25" s="105" t="s">
        <v>56</v>
      </c>
      <c r="D25" s="115" t="s">
        <v>57</v>
      </c>
      <c r="E25" s="119">
        <v>45997</v>
      </c>
      <c r="F25" s="119">
        <v>46003</v>
      </c>
      <c r="G25" s="119">
        <v>46003</v>
      </c>
      <c r="H25" s="45" t="str">
        <f>IF(Datos!$G25&gt;0,Datos!$G25-Datos!$E25+1 &amp; " " &amp; Idiomas!$A$29,"")</f>
        <v>7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10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25">
      <c r="A26" s="91" t="s">
        <v>2</v>
      </c>
      <c r="B26" s="92" t="s">
        <v>3</v>
      </c>
      <c r="C26" s="108" t="s">
        <v>58</v>
      </c>
      <c r="D26" s="114" t="s">
        <v>59</v>
      </c>
      <c r="E26" s="118">
        <v>45997</v>
      </c>
      <c r="F26" s="118">
        <v>46003</v>
      </c>
      <c r="G26" s="118">
        <v>46003</v>
      </c>
      <c r="H26" s="43" t="str">
        <f>IF(Datos!$G26&gt;0,Datos!$G26-Datos!$E26+1 &amp; " " &amp; Idiomas!$A$29,"")</f>
        <v>7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0 días</v>
      </c>
      <c r="J26" s="92" t="s">
        <v>10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x14ac:dyDescent="0.25">
      <c r="A27" s="94" t="s">
        <v>2</v>
      </c>
      <c r="B27" s="95" t="s">
        <v>3</v>
      </c>
      <c r="C27" s="105" t="s">
        <v>60</v>
      </c>
      <c r="D27" s="115" t="s">
        <v>61</v>
      </c>
      <c r="E27" s="119">
        <v>45997</v>
      </c>
      <c r="F27" s="119">
        <v>46003</v>
      </c>
      <c r="G27" s="119">
        <v>46003</v>
      </c>
      <c r="H27" s="45" t="str">
        <f>IF(Datos!$G27&gt;0,Datos!$G27-Datos!$E27+1 &amp; " " &amp; Idiomas!$A$29,"")</f>
        <v>7 días</v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0 días</v>
      </c>
      <c r="J27" s="95" t="s">
        <v>10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x14ac:dyDescent="0.25">
      <c r="A28" s="91" t="s">
        <v>2</v>
      </c>
      <c r="B28" s="92" t="s">
        <v>3</v>
      </c>
      <c r="C28" s="108" t="s">
        <v>62</v>
      </c>
      <c r="D28" s="114" t="s">
        <v>63</v>
      </c>
      <c r="E28" s="118">
        <v>45997</v>
      </c>
      <c r="F28" s="118">
        <v>46003</v>
      </c>
      <c r="G28" s="118">
        <v>46003</v>
      </c>
      <c r="H28" s="43" t="str">
        <f>IF(Datos!$G28&gt;0,Datos!$G28-Datos!$E28+1 &amp; " " &amp; Idiomas!$A$29,"")</f>
        <v>7 días</v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>0 días</v>
      </c>
      <c r="J28" s="92" t="s">
        <v>10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x14ac:dyDescent="0.25">
      <c r="A29" s="94" t="s">
        <v>2</v>
      </c>
      <c r="B29" s="95" t="s">
        <v>3</v>
      </c>
      <c r="C29" s="105" t="s">
        <v>64</v>
      </c>
      <c r="D29" s="115" t="s">
        <v>65</v>
      </c>
      <c r="E29" s="119">
        <v>45997</v>
      </c>
      <c r="F29" s="119">
        <v>46003</v>
      </c>
      <c r="G29" s="119">
        <v>46003</v>
      </c>
      <c r="H29" s="45" t="str">
        <f>IF(Datos!$G29&gt;0,Datos!$G29-Datos!$E29+1 &amp; " " &amp; Idiomas!$A$29,"")</f>
        <v>7 días</v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>0 días</v>
      </c>
      <c r="J29" s="95" t="s">
        <v>10</v>
      </c>
      <c r="K29" s="46" t="str" cm="1">
        <f t="array" aca="1" ref="K29" ca="1">HYPERLINK("["&amp;Archivo_Nombre&amp;"]KANBAN!"&amp;IF(Tareas!$P29="","B2",Tareas!$P29),IF(Datos!$A29="","",Idiomas!$A$12&amp;" "&amp;ROW()-1))</f>
        <v>Tarea 28</v>
      </c>
    </row>
    <row r="30" spans="1:11" customFormat="1" x14ac:dyDescent="0.25">
      <c r="A30" s="91" t="s">
        <v>2</v>
      </c>
      <c r="B30" s="92" t="s">
        <v>3</v>
      </c>
      <c r="C30" s="108" t="s">
        <v>66</v>
      </c>
      <c r="D30" s="114" t="s">
        <v>67</v>
      </c>
      <c r="E30" s="118">
        <v>45997</v>
      </c>
      <c r="F30" s="118">
        <v>46003</v>
      </c>
      <c r="G30" s="118">
        <v>46003</v>
      </c>
      <c r="H30" s="43" t="str">
        <f>IF(Datos!$G30&gt;0,Datos!$G30-Datos!$E30+1 &amp; " " &amp; Idiomas!$A$29,"")</f>
        <v>7 días</v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>0 días</v>
      </c>
      <c r="J30" s="92" t="s">
        <v>10</v>
      </c>
      <c r="K30" s="44" t="str" cm="1">
        <f t="array" aca="1" ref="K30" ca="1">HYPERLINK("["&amp;Archivo_Nombre&amp;"]KANBAN!"&amp;IF(Tareas!$P30="","B2",Tareas!$P30),IF(Datos!$A30="","",Idiomas!$A$12&amp;" "&amp;ROW()-1))</f>
        <v>Tarea 29</v>
      </c>
    </row>
    <row r="31" spans="1:11" customFormat="1" x14ac:dyDescent="0.25">
      <c r="A31" s="94" t="s">
        <v>2</v>
      </c>
      <c r="B31" s="95" t="s">
        <v>3</v>
      </c>
      <c r="C31" s="105" t="s">
        <v>68</v>
      </c>
      <c r="D31" s="115" t="s">
        <v>69</v>
      </c>
      <c r="E31" s="119">
        <v>46006</v>
      </c>
      <c r="F31" s="119">
        <v>46012</v>
      </c>
      <c r="G31" s="119">
        <v>46012</v>
      </c>
      <c r="H31" s="45" t="str">
        <f>IF(Datos!$G31&gt;0,Datos!$G31-Datos!$E31+1 &amp; " " &amp; Idiomas!$A$29,"")</f>
        <v>7 días</v>
      </c>
      <c r="I31" s="45" t="str" cm="1">
        <f t="array" aca="1" ref="I31" ca="1">IF(OR(Datos!$G31="",Datos!$A31=""),"",IF(AND(Datos!$G31=0,Datos!$F31&gt;0,Fecha_Hoy&gt;Datos!$F31),Fecha_Hoy-Datos!$F31,IF(Datos!$F31&lt;Datos!$G31,Datos!$G31-Datos!$F31,0))&amp; " " &amp; Idiomas!$A$29)</f>
        <v>0 días</v>
      </c>
      <c r="J31" s="95" t="s">
        <v>13</v>
      </c>
      <c r="K31" s="46" t="str" cm="1">
        <f t="array" aca="1" ref="K31" ca="1">HYPERLINK("["&amp;Archivo_Nombre&amp;"]KANBAN!"&amp;IF(Tareas!$P31="","B2",Tareas!$P31),IF(Datos!$A31="","",Idiomas!$A$12&amp;" "&amp;ROW()-1))</f>
        <v>Tarea 30</v>
      </c>
    </row>
    <row r="32" spans="1:11" customFormat="1" x14ac:dyDescent="0.25">
      <c r="A32" s="91" t="s">
        <v>2</v>
      </c>
      <c r="B32" s="92" t="s">
        <v>3</v>
      </c>
      <c r="C32" s="108" t="s">
        <v>70</v>
      </c>
      <c r="D32" s="114" t="s">
        <v>71</v>
      </c>
      <c r="E32" s="118">
        <v>46006</v>
      </c>
      <c r="F32" s="118">
        <v>46012</v>
      </c>
      <c r="G32" s="118">
        <v>46012</v>
      </c>
      <c r="H32" s="43" t="str">
        <f>IF(Datos!$G32&gt;0,Datos!$G32-Datos!$E32+1 &amp; " " &amp; Idiomas!$A$29,"")</f>
        <v>7 días</v>
      </c>
      <c r="I32" s="43" t="str" cm="1">
        <f t="array" aca="1" ref="I32" ca="1">IF(OR(Datos!$G32="",Datos!$A32=""),"",IF(AND(Datos!$G32=0,Datos!$F32&gt;0,Fecha_Hoy&gt;Datos!$F32),Fecha_Hoy-Datos!$F32,IF(Datos!$F32&lt;Datos!$G32,Datos!$G32-Datos!$F32,0))&amp; " " &amp; Idiomas!$A$29)</f>
        <v>0 días</v>
      </c>
      <c r="J32" s="92" t="s">
        <v>13</v>
      </c>
      <c r="K32" s="44" t="str" cm="1">
        <f t="array" aca="1" ref="K32" ca="1">HYPERLINK("["&amp;Archivo_Nombre&amp;"]KANBAN!"&amp;IF(Tareas!$P32="","B2",Tareas!$P32),IF(Datos!$A32="","",Idiomas!$A$12&amp;" "&amp;ROW()-1))</f>
        <v>Tarea 31</v>
      </c>
    </row>
    <row r="33" spans="1:11" customFormat="1" x14ac:dyDescent="0.25">
      <c r="A33" s="94" t="s">
        <v>2</v>
      </c>
      <c r="B33" s="95" t="s">
        <v>3</v>
      </c>
      <c r="C33" s="105" t="s">
        <v>72</v>
      </c>
      <c r="D33" s="115" t="s">
        <v>73</v>
      </c>
      <c r="E33" s="119">
        <v>46006</v>
      </c>
      <c r="F33" s="119">
        <v>46012</v>
      </c>
      <c r="G33" s="119">
        <v>46012</v>
      </c>
      <c r="H33" s="45" t="str">
        <f>IF(Datos!$G33&gt;0,Datos!$G33-Datos!$E33+1 &amp; " " &amp; Idiomas!$A$29,"")</f>
        <v>7 días</v>
      </c>
      <c r="I33" s="45" t="str" cm="1">
        <f t="array" aca="1" ref="I33" ca="1">IF(OR(Datos!$G33="",Datos!$A33=""),"",IF(AND(Datos!$G33=0,Datos!$F33&gt;0,Fecha_Hoy&gt;Datos!$F33),Fecha_Hoy-Datos!$F33,IF(Datos!$F33&lt;Datos!$G33,Datos!$G33-Datos!$F33,0))&amp; " " &amp; Idiomas!$A$29)</f>
        <v>0 días</v>
      </c>
      <c r="J33" s="95" t="s">
        <v>13</v>
      </c>
      <c r="K33" s="46" t="str" cm="1">
        <f t="array" aca="1" ref="K33" ca="1">HYPERLINK("["&amp;Archivo_Nombre&amp;"]KANBAN!"&amp;IF(Tareas!$P33="","B2",Tareas!$P33),IF(Datos!$A33="","",Idiomas!$A$12&amp;" "&amp;ROW()-1))</f>
        <v>Tarea 32</v>
      </c>
    </row>
    <row r="34" spans="1:11" customFormat="1" x14ac:dyDescent="0.25">
      <c r="A34" s="91" t="s">
        <v>2</v>
      </c>
      <c r="B34" s="92" t="s">
        <v>3</v>
      </c>
      <c r="C34" s="108" t="s">
        <v>74</v>
      </c>
      <c r="D34" s="114" t="s">
        <v>75</v>
      </c>
      <c r="E34" s="118">
        <v>46006</v>
      </c>
      <c r="F34" s="118">
        <v>46012</v>
      </c>
      <c r="G34" s="118">
        <v>46012</v>
      </c>
      <c r="H34" s="43" t="str">
        <f>IF(Datos!$G34&gt;0,Datos!$G34-Datos!$E34+1 &amp; " " &amp; Idiomas!$A$29,"")</f>
        <v>7 días</v>
      </c>
      <c r="I34" s="43" t="str" cm="1">
        <f t="array" aca="1" ref="I34" ca="1">IF(OR(Datos!$G34="",Datos!$A34=""),"",IF(AND(Datos!$G34=0,Datos!$F34&gt;0,Fecha_Hoy&gt;Datos!$F34),Fecha_Hoy-Datos!$F34,IF(Datos!$F34&lt;Datos!$G34,Datos!$G34-Datos!$F34,0))&amp; " " &amp; Idiomas!$A$29)</f>
        <v>0 días</v>
      </c>
      <c r="J34" s="92" t="s">
        <v>13</v>
      </c>
      <c r="K34" s="44" t="str" cm="1">
        <f t="array" aca="1" ref="K34" ca="1">HYPERLINK("["&amp;Archivo_Nombre&amp;"]KANBAN!"&amp;IF(Tareas!$P34="","B2",Tareas!$P34),IF(Datos!$A34="","",Idiomas!$A$12&amp;" "&amp;ROW()-1))</f>
        <v>Tarea 33</v>
      </c>
    </row>
    <row r="35" spans="1:11" customFormat="1" x14ac:dyDescent="0.25">
      <c r="A35" s="94" t="s">
        <v>2</v>
      </c>
      <c r="B35" s="95" t="s">
        <v>3</v>
      </c>
      <c r="C35" s="105" t="s">
        <v>76</v>
      </c>
      <c r="D35" s="115" t="s">
        <v>77</v>
      </c>
      <c r="E35" s="119">
        <v>46006</v>
      </c>
      <c r="F35" s="119">
        <v>46012</v>
      </c>
      <c r="G35" s="119">
        <v>46012</v>
      </c>
      <c r="H35" s="45" t="str">
        <f>IF(Datos!$G35&gt;0,Datos!$G35-Datos!$E35+1 &amp; " " &amp; Idiomas!$A$29,"")</f>
        <v>7 días</v>
      </c>
      <c r="I35" s="45" t="str" cm="1">
        <f t="array" aca="1" ref="I35" ca="1">IF(OR(Datos!$G35="",Datos!$A35=""),"",IF(AND(Datos!$G35=0,Datos!$F35&gt;0,Fecha_Hoy&gt;Datos!$F35),Fecha_Hoy-Datos!$F35,IF(Datos!$F35&lt;Datos!$G35,Datos!$G35-Datos!$F35,0))&amp; " " &amp; Idiomas!$A$29)</f>
        <v>0 días</v>
      </c>
      <c r="J35" s="95" t="s">
        <v>13</v>
      </c>
      <c r="K35" s="46" t="str" cm="1">
        <f t="array" aca="1" ref="K35" ca="1">HYPERLINK("["&amp;Archivo_Nombre&amp;"]KANBAN!"&amp;IF(Tareas!$P35="","B2",Tareas!$P35),IF(Datos!$A35="","",Idiomas!$A$12&amp;" "&amp;ROW()-1))</f>
        <v>Tarea 34</v>
      </c>
    </row>
    <row r="36" spans="1:11" customFormat="1" x14ac:dyDescent="0.25">
      <c r="A36" s="91" t="s">
        <v>2</v>
      </c>
      <c r="B36" s="92" t="s">
        <v>3</v>
      </c>
      <c r="C36" s="108" t="s">
        <v>78</v>
      </c>
      <c r="D36" s="114" t="s">
        <v>79</v>
      </c>
      <c r="E36" s="118">
        <v>46006</v>
      </c>
      <c r="F36" s="118">
        <v>46012</v>
      </c>
      <c r="G36" s="118">
        <v>46012</v>
      </c>
      <c r="H36" s="43" t="str">
        <f>IF(Datos!$G36&gt;0,Datos!$G36-Datos!$E36+1 &amp; " " &amp; Idiomas!$A$29,"")</f>
        <v>7 días</v>
      </c>
      <c r="I36" s="43" t="str" cm="1">
        <f t="array" aca="1" ref="I36" ca="1">IF(OR(Datos!$G36="",Datos!$A36=""),"",IF(AND(Datos!$G36=0,Datos!$F36&gt;0,Fecha_Hoy&gt;Datos!$F36),Fecha_Hoy-Datos!$F36,IF(Datos!$F36&lt;Datos!$G36,Datos!$G36-Datos!$F36,0))&amp; " " &amp; Idiomas!$A$29)</f>
        <v>0 días</v>
      </c>
      <c r="J36" s="92" t="s">
        <v>13</v>
      </c>
      <c r="K36" s="44" t="str" cm="1">
        <f t="array" aca="1" ref="K36" ca="1">HYPERLINK("["&amp;Archivo_Nombre&amp;"]KANBAN!"&amp;IF(Tareas!$P36="","B2",Tareas!$P36),IF(Datos!$A36="","",Idiomas!$A$12&amp;" "&amp;ROW()-1))</f>
        <v>Tarea 35</v>
      </c>
    </row>
    <row r="37" spans="1:11" customFormat="1" x14ac:dyDescent="0.25">
      <c r="A37" s="94" t="s">
        <v>2</v>
      </c>
      <c r="B37" s="95" t="s">
        <v>7</v>
      </c>
      <c r="C37" s="105" t="s">
        <v>80</v>
      </c>
      <c r="D37" s="95" t="s">
        <v>81</v>
      </c>
      <c r="E37" s="110">
        <v>45994</v>
      </c>
      <c r="F37" s="110">
        <v>45994</v>
      </c>
      <c r="G37" s="110">
        <v>45994</v>
      </c>
      <c r="H37" s="45" t="str">
        <f>IF(Datos!$G37&gt;0,Datos!$G37-Datos!$E37+1 &amp; " " &amp; Idiomas!$A$29,"")</f>
        <v>1 días</v>
      </c>
      <c r="I37" s="45" t="str" cm="1">
        <f t="array" aca="1" ref="I37" ca="1">IF(OR(Datos!$G37="",Datos!$A37=""),"",IF(AND(Datos!$G37=0,Datos!$F37&gt;0,Fecha_Hoy&gt;Datos!$F37),Fecha_Hoy-Datos!$F37,IF(Datos!$F37&lt;Datos!$G37,Datos!$G37-Datos!$F37,0))&amp; " " &amp; Idiomas!$A$29)</f>
        <v>0 días</v>
      </c>
      <c r="J37" s="95" t="s">
        <v>10</v>
      </c>
      <c r="K37" s="46" t="str" cm="1">
        <f t="array" aca="1" ref="K37" ca="1">HYPERLINK("["&amp;Archivo_Nombre&amp;"]KANBAN!"&amp;IF(Tareas!$P37="","B2",Tareas!$P37),IF(Datos!$A37="","",Idiomas!$A$12&amp;" "&amp;ROW()-1))</f>
        <v>Tarea 36</v>
      </c>
    </row>
    <row r="38" spans="1:11" customFormat="1" x14ac:dyDescent="0.25">
      <c r="A38" s="91" t="s">
        <v>82</v>
      </c>
      <c r="B38" s="92" t="s">
        <v>7</v>
      </c>
      <c r="C38" s="108" t="s">
        <v>83</v>
      </c>
      <c r="D38" s="92" t="s">
        <v>84</v>
      </c>
      <c r="E38" s="109">
        <v>45987</v>
      </c>
      <c r="F38" s="109">
        <v>45994</v>
      </c>
      <c r="G38" s="109">
        <v>45994</v>
      </c>
      <c r="H38" s="43" t="str">
        <f>IF(Datos!$G38&gt;0,Datos!$G38-Datos!$E38+1 &amp; " " &amp; Idiomas!$A$29,"")</f>
        <v>8 días</v>
      </c>
      <c r="I38" s="43" t="str" cm="1">
        <f t="array" aca="1" ref="I38" ca="1">IF(OR(Datos!$G38="",Datos!$A38=""),"",IF(AND(Datos!$G38=0,Datos!$F38&gt;0,Fecha_Hoy&gt;Datos!$F38),Fecha_Hoy-Datos!$F38,IF(Datos!$F38&lt;Datos!$G38,Datos!$G38-Datos!$F38,0))&amp; " " &amp; Idiomas!$A$29)</f>
        <v>0 días</v>
      </c>
      <c r="J38" s="92" t="s">
        <v>85</v>
      </c>
      <c r="K38" s="44" t="str" cm="1">
        <f t="array" aca="1" ref="K38" ca="1">HYPERLINK("["&amp;Archivo_Nombre&amp;"]KANBAN!"&amp;IF(Tareas!$P38="","B2",Tareas!$P38),IF(Datos!$A38="","",Idiomas!$A$12&amp;" "&amp;ROW()-1))</f>
        <v>Tarea 37</v>
      </c>
    </row>
    <row r="39" spans="1:11" customFormat="1" x14ac:dyDescent="0.25">
      <c r="A39" s="94" t="s">
        <v>82</v>
      </c>
      <c r="B39" s="95" t="s">
        <v>7</v>
      </c>
      <c r="C39" s="105" t="s">
        <v>86</v>
      </c>
      <c r="D39" s="95" t="s">
        <v>87</v>
      </c>
      <c r="E39" s="110">
        <v>46003</v>
      </c>
      <c r="F39" s="110">
        <v>46003</v>
      </c>
      <c r="G39" s="110">
        <v>46003</v>
      </c>
      <c r="H39" s="45" t="str">
        <f>IF(Datos!$G39&gt;0,Datos!$G39-Datos!$E39+1 &amp; " " &amp; Idiomas!$A$29,"")</f>
        <v>1 días</v>
      </c>
      <c r="I39" s="45" t="str" cm="1">
        <f t="array" aca="1" ref="I39" ca="1">IF(OR(Datos!$G39="",Datos!$A39=""),"",IF(AND(Datos!$G39=0,Datos!$F39&gt;0,Fecha_Hoy&gt;Datos!$F39),Fecha_Hoy-Datos!$F39,IF(Datos!$F39&lt;Datos!$G39,Datos!$G39-Datos!$F39,0))&amp; " " &amp; Idiomas!$A$29)</f>
        <v>0 días</v>
      </c>
      <c r="J39" s="95" t="s">
        <v>88</v>
      </c>
      <c r="K39" s="46" t="str" cm="1">
        <f t="array" aca="1" ref="K39" ca="1">HYPERLINK("["&amp;Archivo_Nombre&amp;"]KANBAN!"&amp;IF(Tareas!$P39="","B2",Tareas!$P39),IF(Datos!$A39="","",Idiomas!$A$12&amp;" "&amp;ROW()-1))</f>
        <v>Tarea 38</v>
      </c>
    </row>
    <row r="40" spans="1:11" customFormat="1" x14ac:dyDescent="0.25">
      <c r="A40" s="91" t="s">
        <v>82</v>
      </c>
      <c r="B40" s="92" t="s">
        <v>3</v>
      </c>
      <c r="C40" s="108" t="s">
        <v>89</v>
      </c>
      <c r="D40" s="92" t="s">
        <v>90</v>
      </c>
      <c r="E40" s="109">
        <v>46010</v>
      </c>
      <c r="F40" s="109">
        <v>46010</v>
      </c>
      <c r="G40" s="109">
        <v>46010</v>
      </c>
      <c r="H40" s="43" t="str">
        <f>IF(Datos!$G40&gt;0,Datos!$G40-Datos!$E40+1 &amp; " " &amp; Idiomas!$A$29,"")</f>
        <v>1 días</v>
      </c>
      <c r="I40" s="43" t="str" cm="1">
        <f t="array" aca="1" ref="I40" ca="1">IF(OR(Datos!$G40="",Datos!$A40=""),"",IF(AND(Datos!$G40=0,Datos!$F40&gt;0,Fecha_Hoy&gt;Datos!$F40),Fecha_Hoy-Datos!$F40,IF(Datos!$F40&lt;Datos!$G40,Datos!$G40-Datos!$F40,0))&amp; " " &amp; Idiomas!$A$29)</f>
        <v>0 días</v>
      </c>
      <c r="J40" s="92" t="s">
        <v>33</v>
      </c>
      <c r="K40" s="44" t="str" cm="1">
        <f t="array" aca="1" ref="K40" ca="1">HYPERLINK("["&amp;Archivo_Nombre&amp;"]KANBAN!"&amp;IF(Tareas!$P40="","B2",Tareas!$P40),IF(Datos!$A40="","",Idiomas!$A$12&amp;" "&amp;ROW()-1))</f>
        <v>Tarea 39</v>
      </c>
    </row>
    <row r="41" spans="1:11" customFormat="1" x14ac:dyDescent="0.25">
      <c r="A41" s="94" t="s">
        <v>2</v>
      </c>
      <c r="B41" s="95" t="s">
        <v>3</v>
      </c>
      <c r="C41" s="105" t="s">
        <v>91</v>
      </c>
      <c r="D41" s="95" t="s">
        <v>92</v>
      </c>
      <c r="E41" s="119">
        <v>46013</v>
      </c>
      <c r="F41" s="119">
        <v>46028</v>
      </c>
      <c r="G41" s="119">
        <v>46028</v>
      </c>
      <c r="H41" s="45" t="str">
        <f>IF(Datos!$G41&gt;0,Datos!$G41-Datos!$E41+1 &amp; " " &amp; Idiomas!$A$29,"")</f>
        <v>16 días</v>
      </c>
      <c r="I41" s="45" t="str" cm="1">
        <f t="array" aca="1" ref="I41" ca="1">IF(OR(Datos!$G41="",Datos!$A41=""),"",IF(AND(Datos!$G41=0,Datos!$F41&gt;0,Fecha_Hoy&gt;Datos!$F41),Fecha_Hoy-Datos!$F41,IF(Datos!$F41&lt;Datos!$G41,Datos!$G41-Datos!$F41,0))&amp; " " &amp; Idiomas!$A$29)</f>
        <v>0 días</v>
      </c>
      <c r="J41" s="95" t="s">
        <v>33</v>
      </c>
      <c r="K41" s="46" t="str" cm="1">
        <f t="array" aca="1" ref="K41" ca="1">HYPERLINK("["&amp;Archivo_Nombre&amp;"]KANBAN!"&amp;IF(Tareas!$P41="","B2",Tareas!$P41),IF(Datos!$A41="","",Idiomas!$A$12&amp;" "&amp;ROW()-1))</f>
        <v>Tarea 40</v>
      </c>
    </row>
    <row r="42" spans="1:11" customFormat="1" x14ac:dyDescent="0.25">
      <c r="A42" s="91" t="s">
        <v>2</v>
      </c>
      <c r="B42" s="92" t="s">
        <v>3</v>
      </c>
      <c r="C42" s="108" t="s">
        <v>93</v>
      </c>
      <c r="D42" s="92" t="s">
        <v>94</v>
      </c>
      <c r="E42" s="118">
        <v>46013</v>
      </c>
      <c r="F42" s="118">
        <v>46015</v>
      </c>
      <c r="G42" s="118">
        <v>46015</v>
      </c>
      <c r="H42" s="43" t="str">
        <f>IF(Datos!$G42&gt;0,Datos!$G42-Datos!$E42+1 &amp; " " &amp; Idiomas!$A$29,"")</f>
        <v>3 días</v>
      </c>
      <c r="I42" s="43" t="str" cm="1">
        <f t="array" aca="1" ref="I42" ca="1">IF(OR(Datos!$G42="",Datos!$A42=""),"",IF(AND(Datos!$G42=0,Datos!$F42&gt;0,Fecha_Hoy&gt;Datos!$F42),Fecha_Hoy-Datos!$F42,IF(Datos!$F42&lt;Datos!$G42,Datos!$G42-Datos!$F42,0))&amp; " " &amp; Idiomas!$A$29)</f>
        <v>0 días</v>
      </c>
      <c r="J42" s="92" t="s">
        <v>6</v>
      </c>
      <c r="K42" s="44" t="str" cm="1">
        <f t="array" aca="1" ref="K42" ca="1">HYPERLINK("["&amp;Archivo_Nombre&amp;"]KANBAN!"&amp;IF(Tareas!$P42="","B2",Tareas!$P42),IF(Datos!$A42="","",Idiomas!$A$12&amp;" "&amp;ROW()-1))</f>
        <v>Tarea 41</v>
      </c>
    </row>
    <row r="43" spans="1:11" customFormat="1" x14ac:dyDescent="0.25">
      <c r="A43" s="94" t="s">
        <v>2</v>
      </c>
      <c r="B43" s="95" t="s">
        <v>3</v>
      </c>
      <c r="C43" s="95" t="s">
        <v>95</v>
      </c>
      <c r="D43" s="95" t="s">
        <v>96</v>
      </c>
      <c r="E43" s="119">
        <v>46013</v>
      </c>
      <c r="F43" s="119">
        <v>46015</v>
      </c>
      <c r="G43" s="119">
        <v>46015</v>
      </c>
      <c r="H43" s="45" t="str">
        <f>IF(Datos!$G43&gt;0,Datos!$G43-Datos!$E43+1 &amp; " " &amp; Idiomas!$A$29,"")</f>
        <v>3 días</v>
      </c>
      <c r="I43" s="45" t="str" cm="1">
        <f t="array" aca="1" ref="I43" ca="1">IF(OR(Datos!$G43="",Datos!$A43=""),"",IF(AND(Datos!$G43=0,Datos!$F43&gt;0,Fecha_Hoy&gt;Datos!$F43),Fecha_Hoy-Datos!$F43,IF(Datos!$F43&lt;Datos!$G43,Datos!$G43-Datos!$F43,0))&amp; " " &amp; Idiomas!$A$29)</f>
        <v>0 días</v>
      </c>
      <c r="J43" s="95" t="s">
        <v>6</v>
      </c>
      <c r="K43" s="46" t="str" cm="1">
        <f t="array" aca="1" ref="K43" ca="1">HYPERLINK("["&amp;Archivo_Nombre&amp;"]KANBAN!"&amp;IF(Tareas!$P43="","B2",Tareas!$P43),IF(Datos!$A43="","",Idiomas!$A$12&amp;" "&amp;ROW()-1))</f>
        <v>Tarea 42</v>
      </c>
    </row>
    <row r="44" spans="1:11" customFormat="1" x14ac:dyDescent="0.25">
      <c r="A44" s="91" t="s">
        <v>2</v>
      </c>
      <c r="B44" s="92" t="s">
        <v>3</v>
      </c>
      <c r="C44" s="92" t="s">
        <v>97</v>
      </c>
      <c r="D44" s="92" t="s">
        <v>98</v>
      </c>
      <c r="E44" s="118">
        <v>46013</v>
      </c>
      <c r="F44" s="118">
        <v>46015</v>
      </c>
      <c r="G44" s="118">
        <v>46015</v>
      </c>
      <c r="H44" s="43" t="str">
        <f>IF(Datos!$G44&gt;0,Datos!$G44-Datos!$E44+1 &amp; " " &amp; Idiomas!$A$29,"")</f>
        <v>3 días</v>
      </c>
      <c r="I44" s="43" t="str" cm="1">
        <f t="array" aca="1" ref="I44" ca="1">IF(OR(Datos!$G44="",Datos!$A44=""),"",IF(AND(Datos!$G44=0,Datos!$F44&gt;0,Fecha_Hoy&gt;Datos!$F44),Fecha_Hoy-Datos!$F44,IF(Datos!$F44&lt;Datos!$G44,Datos!$G44-Datos!$F44,0))&amp; " " &amp; Idiomas!$A$29)</f>
        <v>0 días</v>
      </c>
      <c r="J44" s="92" t="s">
        <v>6</v>
      </c>
      <c r="K44" s="44" t="str" cm="1">
        <f t="array" aca="1" ref="K44" ca="1">HYPERLINK("["&amp;Archivo_Nombre&amp;"]KANBAN!"&amp;IF(Tareas!$P44="","B2",Tareas!$P44),IF(Datos!$A44="","",Idiomas!$A$12&amp;" "&amp;ROW()-1))</f>
        <v>Tarea 43</v>
      </c>
    </row>
    <row r="45" spans="1:11" customFormat="1" x14ac:dyDescent="0.25">
      <c r="A45" s="94" t="s">
        <v>2</v>
      </c>
      <c r="B45" s="95" t="s">
        <v>3</v>
      </c>
      <c r="C45" s="95" t="s">
        <v>99</v>
      </c>
      <c r="D45" s="95" t="s">
        <v>100</v>
      </c>
      <c r="E45" s="119">
        <v>46013</v>
      </c>
      <c r="F45" s="119">
        <v>46015</v>
      </c>
      <c r="G45" s="119">
        <v>46015</v>
      </c>
      <c r="H45" s="45" t="str">
        <f>IF(Datos!$G45&gt;0,Datos!$G45-Datos!$E45+1 &amp; " " &amp; Idiomas!$A$29,"")</f>
        <v>3 días</v>
      </c>
      <c r="I45" s="45" t="str" cm="1">
        <f t="array" aca="1" ref="I45" ca="1">IF(OR(Datos!$G45="",Datos!$A45=""),"",IF(AND(Datos!$G45=0,Datos!$F45&gt;0,Fecha_Hoy&gt;Datos!$F45),Fecha_Hoy-Datos!$F45,IF(Datos!$F45&lt;Datos!$G45,Datos!$G45-Datos!$F45,0))&amp; " " &amp; Idiomas!$A$29)</f>
        <v>0 días</v>
      </c>
      <c r="J45" s="95" t="s">
        <v>6</v>
      </c>
      <c r="K45" s="46" t="str" cm="1">
        <f t="array" aca="1" ref="K45" ca="1">HYPERLINK("["&amp;Archivo_Nombre&amp;"]KANBAN!"&amp;IF(Tareas!$P45="","B2",Tareas!$P45),IF(Datos!$A45="","",Idiomas!$A$12&amp;" "&amp;ROW()-1))</f>
        <v>Tarea 44</v>
      </c>
    </row>
    <row r="46" spans="1:11" customFormat="1" x14ac:dyDescent="0.25">
      <c r="A46" s="91" t="s">
        <v>2</v>
      </c>
      <c r="B46" s="92" t="s">
        <v>3</v>
      </c>
      <c r="C46" s="92" t="s">
        <v>101</v>
      </c>
      <c r="D46" s="92" t="s">
        <v>102</v>
      </c>
      <c r="E46" s="118">
        <v>46013</v>
      </c>
      <c r="F46" s="118">
        <v>46015</v>
      </c>
      <c r="G46" s="118">
        <v>46015</v>
      </c>
      <c r="H46" s="43" t="str">
        <f>IF(Datos!$G46&gt;0,Datos!$G46-Datos!$E46+1 &amp; " " &amp; Idiomas!$A$29,"")</f>
        <v>3 días</v>
      </c>
      <c r="I46" s="43" t="str" cm="1">
        <f t="array" aca="1" ref="I46" ca="1">IF(OR(Datos!$G46="",Datos!$A46=""),"",IF(AND(Datos!$G46=0,Datos!$F46&gt;0,Fecha_Hoy&gt;Datos!$F46),Fecha_Hoy-Datos!$F46,IF(Datos!$F46&lt;Datos!$G46,Datos!$G46-Datos!$F46,0))&amp; " " &amp; Idiomas!$A$29)</f>
        <v>0 días</v>
      </c>
      <c r="J46" s="92" t="s">
        <v>6</v>
      </c>
      <c r="K46" s="44" t="str" cm="1">
        <f t="array" aca="1" ref="K46" ca="1">HYPERLINK("["&amp;Archivo_Nombre&amp;"]KANBAN!"&amp;IF(Tareas!$P46="","B2",Tareas!$P46),IF(Datos!$A46="","",Idiomas!$A$12&amp;" "&amp;ROW()-1))</f>
        <v>Tarea 45</v>
      </c>
    </row>
    <row r="47" spans="1:11" customFormat="1" x14ac:dyDescent="0.25">
      <c r="A47" s="94" t="s">
        <v>2</v>
      </c>
      <c r="B47" s="95" t="s">
        <v>3</v>
      </c>
      <c r="C47" s="95" t="s">
        <v>103</v>
      </c>
      <c r="D47" s="95" t="s">
        <v>104</v>
      </c>
      <c r="E47" s="119">
        <v>46017</v>
      </c>
      <c r="F47" s="119">
        <v>46020</v>
      </c>
      <c r="G47" s="119">
        <v>46020</v>
      </c>
      <c r="H47" s="45" t="str">
        <f>IF(Datos!$G47&gt;0,Datos!$G47-Datos!$E47+1 &amp; " " &amp; Idiomas!$A$29,"")</f>
        <v>4 días</v>
      </c>
      <c r="I47" s="45" t="str" cm="1">
        <f t="array" aca="1" ref="I47" ca="1">IF(OR(Datos!$G47="",Datos!$A47=""),"",IF(AND(Datos!$G47=0,Datos!$F47&gt;0,Fecha_Hoy&gt;Datos!$F47),Fecha_Hoy-Datos!$F47,IF(Datos!$F47&lt;Datos!$G47,Datos!$G47-Datos!$F47,0))&amp; " " &amp; Idiomas!$A$29)</f>
        <v>0 días</v>
      </c>
      <c r="J47" s="95" t="s">
        <v>13</v>
      </c>
      <c r="K47" s="46" t="str" cm="1">
        <f t="array" aca="1" ref="K47" ca="1">HYPERLINK("["&amp;Archivo_Nombre&amp;"]KANBAN!"&amp;IF(Tareas!$P47="","B2",Tareas!$P47),IF(Datos!$A47="","",Idiomas!$A$12&amp;" "&amp;ROW()-1))</f>
        <v>Tarea 46</v>
      </c>
    </row>
    <row r="48" spans="1:11" customFormat="1" x14ac:dyDescent="0.25">
      <c r="A48" s="91" t="s">
        <v>2</v>
      </c>
      <c r="B48" s="92" t="s">
        <v>3</v>
      </c>
      <c r="C48" s="92" t="s">
        <v>105</v>
      </c>
      <c r="D48" s="92" t="s">
        <v>106</v>
      </c>
      <c r="E48" s="118">
        <v>46017</v>
      </c>
      <c r="F48" s="118">
        <v>46020</v>
      </c>
      <c r="G48" s="118">
        <v>46020</v>
      </c>
      <c r="H48" s="43" t="str">
        <f>IF(Datos!$G48&gt;0,Datos!$G48-Datos!$E48+1 &amp; " " &amp; Idiomas!$A$29,"")</f>
        <v>4 días</v>
      </c>
      <c r="I48" s="43" t="str" cm="1">
        <f t="array" aca="1" ref="I48" ca="1">IF(OR(Datos!$G48="",Datos!$A48=""),"",IF(AND(Datos!$G48=0,Datos!$F48&gt;0,Fecha_Hoy&gt;Datos!$F48),Fecha_Hoy-Datos!$F48,IF(Datos!$F48&lt;Datos!$G48,Datos!$G48-Datos!$F48,0))&amp; " " &amp; Idiomas!$A$29)</f>
        <v>0 días</v>
      </c>
      <c r="J48" s="92" t="s">
        <v>13</v>
      </c>
      <c r="K48" s="44" t="str" cm="1">
        <f t="array" aca="1" ref="K48" ca="1">HYPERLINK("["&amp;Archivo_Nombre&amp;"]KANBAN!"&amp;IF(Tareas!$P48="","B2",Tareas!$P48),IF(Datos!$A48="","",Idiomas!$A$12&amp;" "&amp;ROW()-1))</f>
        <v>Tarea 47</v>
      </c>
    </row>
    <row r="49" spans="1:11" customFormat="1" x14ac:dyDescent="0.25">
      <c r="A49" s="94" t="s">
        <v>2</v>
      </c>
      <c r="B49" s="95" t="s">
        <v>3</v>
      </c>
      <c r="C49" s="95" t="s">
        <v>107</v>
      </c>
      <c r="D49" s="95" t="s">
        <v>108</v>
      </c>
      <c r="E49" s="119">
        <v>46017</v>
      </c>
      <c r="F49" s="119">
        <v>46020</v>
      </c>
      <c r="G49" s="119">
        <v>46020</v>
      </c>
      <c r="H49" s="45" t="str">
        <f>IF(Datos!$G49&gt;0,Datos!$G49-Datos!$E49+1 &amp; " " &amp; Idiomas!$A$29,"")</f>
        <v>4 días</v>
      </c>
      <c r="I49" s="45" t="str" cm="1">
        <f t="array" aca="1" ref="I49" ca="1">IF(OR(Datos!$G49="",Datos!$A49=""),"",IF(AND(Datos!$G49=0,Datos!$F49&gt;0,Fecha_Hoy&gt;Datos!$F49),Fecha_Hoy-Datos!$F49,IF(Datos!$F49&lt;Datos!$G49,Datos!$G49-Datos!$F49,0))&amp; " " &amp; Idiomas!$A$29)</f>
        <v>0 días</v>
      </c>
      <c r="J49" s="95" t="s">
        <v>13</v>
      </c>
      <c r="K49" s="46" t="str" cm="1">
        <f t="array" aca="1" ref="K49" ca="1">HYPERLINK("["&amp;Archivo_Nombre&amp;"]KANBAN!"&amp;IF(Tareas!$P49="","B2",Tareas!$P49),IF(Datos!$A49="","",Idiomas!$A$12&amp;" "&amp;ROW()-1))</f>
        <v>Tarea 48</v>
      </c>
    </row>
    <row r="50" spans="1:11" customFormat="1" x14ac:dyDescent="0.25">
      <c r="A50" s="91" t="s">
        <v>2</v>
      </c>
      <c r="B50" s="92" t="s">
        <v>3</v>
      </c>
      <c r="C50" s="116" t="s">
        <v>109</v>
      </c>
      <c r="D50" s="92" t="s">
        <v>110</v>
      </c>
      <c r="E50" s="118">
        <v>46017</v>
      </c>
      <c r="F50" s="118">
        <v>46020</v>
      </c>
      <c r="G50" s="118">
        <v>46020</v>
      </c>
      <c r="H50" s="43" t="str">
        <f>IF(Datos!$G50&gt;0,Datos!$G50-Datos!$E50+1 &amp; " " &amp; Idiomas!$A$29,"")</f>
        <v>4 días</v>
      </c>
      <c r="I50" s="43" t="str" cm="1">
        <f t="array" aca="1" ref="I50" ca="1">IF(OR(Datos!$G50="",Datos!$A50=""),"",IF(AND(Datos!$G50=0,Datos!$F50&gt;0,Fecha_Hoy&gt;Datos!$F50),Fecha_Hoy-Datos!$F50,IF(Datos!$F50&lt;Datos!$G50,Datos!$G50-Datos!$F50,0))&amp; " " &amp; Idiomas!$A$29)</f>
        <v>0 días</v>
      </c>
      <c r="J50" s="92" t="s">
        <v>13</v>
      </c>
      <c r="K50" s="44" t="str" cm="1">
        <f t="array" aca="1" ref="K50" ca="1">HYPERLINK("["&amp;Archivo_Nombre&amp;"]KANBAN!"&amp;IF(Tareas!$P50="","B2",Tareas!$P50),IF(Datos!$A50="","",Idiomas!$A$12&amp;" "&amp;ROW()-1))</f>
        <v>Tarea 49</v>
      </c>
    </row>
    <row r="51" spans="1:11" customFormat="1" x14ac:dyDescent="0.25">
      <c r="A51" s="94" t="s">
        <v>2</v>
      </c>
      <c r="B51" s="95" t="s">
        <v>3</v>
      </c>
      <c r="C51" s="117" t="s">
        <v>111</v>
      </c>
      <c r="D51" s="95" t="s">
        <v>112</v>
      </c>
      <c r="E51" s="119">
        <v>46017</v>
      </c>
      <c r="F51" s="119">
        <v>46020</v>
      </c>
      <c r="G51" s="119">
        <v>46020</v>
      </c>
      <c r="H51" s="45" t="str">
        <f>IF(Datos!$G51&gt;0,Datos!$G51-Datos!$E51+1 &amp; " " &amp; Idiomas!$A$29,"")</f>
        <v>4 días</v>
      </c>
      <c r="I51" s="45" t="str" cm="1">
        <f t="array" aca="1" ref="I51" ca="1">IF(OR(Datos!$G51="",Datos!$A51=""),"",IF(AND(Datos!$G51=0,Datos!$F51&gt;0,Fecha_Hoy&gt;Datos!$F51),Fecha_Hoy-Datos!$F51,IF(Datos!$F51&lt;Datos!$G51,Datos!$G51-Datos!$F51,0))&amp; " " &amp; Idiomas!$A$29)</f>
        <v>0 días</v>
      </c>
      <c r="J51" s="95" t="s">
        <v>13</v>
      </c>
      <c r="K51" s="46" t="str" cm="1">
        <f t="array" aca="1" ref="K51" ca="1">HYPERLINK("["&amp;Archivo_Nombre&amp;"]KANBAN!"&amp;IF(Tareas!$P51="","B2",Tareas!$P51),IF(Datos!$A51="","",Idiomas!$A$12&amp;" "&amp;ROW()-1))</f>
        <v>Tarea 50</v>
      </c>
    </row>
    <row r="52" spans="1:11" customFormat="1" x14ac:dyDescent="0.25">
      <c r="A52" s="91" t="s">
        <v>2</v>
      </c>
      <c r="B52" s="92" t="s">
        <v>3</v>
      </c>
      <c r="C52" s="92" t="s">
        <v>113</v>
      </c>
      <c r="D52" s="92" t="s">
        <v>114</v>
      </c>
      <c r="E52" s="118">
        <v>46015</v>
      </c>
      <c r="F52" s="118">
        <v>46017</v>
      </c>
      <c r="G52" s="118">
        <v>46017</v>
      </c>
      <c r="H52" s="43" t="str">
        <f>IF(Datos!$G52&gt;0,Datos!$G52-Datos!$E52+1 &amp; " " &amp; Idiomas!$A$29,"")</f>
        <v>3 días</v>
      </c>
      <c r="I52" s="43" t="str" cm="1">
        <f t="array" aca="1" ref="I52" ca="1">IF(OR(Datos!$G52="",Datos!$A52=""),"",IF(AND(Datos!$G52=0,Datos!$F52&gt;0,Fecha_Hoy&gt;Datos!$F52),Fecha_Hoy-Datos!$F52,IF(Datos!$F52&lt;Datos!$G52,Datos!$G52-Datos!$F52,0))&amp; " " &amp; Idiomas!$A$29)</f>
        <v>0 días</v>
      </c>
      <c r="J52" s="92" t="s">
        <v>10</v>
      </c>
      <c r="K52" s="44" t="str" cm="1">
        <f t="array" aca="1" ref="K52" ca="1">HYPERLINK("["&amp;Archivo_Nombre&amp;"]KANBAN!"&amp;IF(Tareas!$P52="","B2",Tareas!$P52),IF(Datos!$A52="","",Idiomas!$A$12&amp;" "&amp;ROW()-1))</f>
        <v>Tarea 51</v>
      </c>
    </row>
    <row r="53" spans="1:11" customFormat="1" x14ac:dyDescent="0.25">
      <c r="A53" s="94" t="s">
        <v>2</v>
      </c>
      <c r="B53" s="95" t="s">
        <v>3</v>
      </c>
      <c r="C53" s="95" t="s">
        <v>115</v>
      </c>
      <c r="D53" s="95" t="s">
        <v>116</v>
      </c>
      <c r="E53" s="119">
        <v>46015</v>
      </c>
      <c r="F53" s="119">
        <v>46017</v>
      </c>
      <c r="G53" s="119">
        <v>46017</v>
      </c>
      <c r="H53" s="45" t="str">
        <f>IF(Datos!$G53&gt;0,Datos!$G53-Datos!$E53+1 &amp; " " &amp; Idiomas!$A$29,"")</f>
        <v>3 días</v>
      </c>
      <c r="I53" s="45" t="str" cm="1">
        <f t="array" aca="1" ref="I53" ca="1">IF(OR(Datos!$G53="",Datos!$A53=""),"",IF(AND(Datos!$G53=0,Datos!$F53&gt;0,Fecha_Hoy&gt;Datos!$F53),Fecha_Hoy-Datos!$F53,IF(Datos!$F53&lt;Datos!$G53,Datos!$G53-Datos!$F53,0))&amp; " " &amp; Idiomas!$A$29)</f>
        <v>0 días</v>
      </c>
      <c r="J53" s="95" t="s">
        <v>10</v>
      </c>
      <c r="K53" s="46" t="str" cm="1">
        <f t="array" aca="1" ref="K53" ca="1">HYPERLINK("["&amp;Archivo_Nombre&amp;"]KANBAN!"&amp;IF(Tareas!$P53="","B2",Tareas!$P53),IF(Datos!$A53="","",Idiomas!$A$12&amp;" "&amp;ROW()-1))</f>
        <v>Tarea 52</v>
      </c>
    </row>
    <row r="54" spans="1:11" customFormat="1" x14ac:dyDescent="0.25">
      <c r="A54" s="91" t="s">
        <v>2</v>
      </c>
      <c r="B54" s="92" t="s">
        <v>3</v>
      </c>
      <c r="C54" s="116" t="s">
        <v>117</v>
      </c>
      <c r="D54" s="92" t="s">
        <v>118</v>
      </c>
      <c r="E54" s="118">
        <v>46015</v>
      </c>
      <c r="F54" s="118">
        <v>46017</v>
      </c>
      <c r="G54" s="118">
        <v>46017</v>
      </c>
      <c r="H54" s="43" t="str">
        <f>IF(Datos!$G54&gt;0,Datos!$G54-Datos!$E54+1 &amp; " " &amp; Idiomas!$A$29,"")</f>
        <v>3 días</v>
      </c>
      <c r="I54" s="43" t="str" cm="1">
        <f t="array" aca="1" ref="I54" ca="1">IF(OR(Datos!$G54="",Datos!$A54=""),"",IF(AND(Datos!$G54=0,Datos!$F54&gt;0,Fecha_Hoy&gt;Datos!$F54),Fecha_Hoy-Datos!$F54,IF(Datos!$F54&lt;Datos!$G54,Datos!$G54-Datos!$F54,0))&amp; " " &amp; Idiomas!$A$29)</f>
        <v>0 días</v>
      </c>
      <c r="J54" s="92" t="s">
        <v>10</v>
      </c>
      <c r="K54" s="44" t="str" cm="1">
        <f t="array" aca="1" ref="K54" ca="1">HYPERLINK("["&amp;Archivo_Nombre&amp;"]KANBAN!"&amp;IF(Tareas!$P54="","B2",Tareas!$P54),IF(Datos!$A54="","",Idiomas!$A$12&amp;" "&amp;ROW()-1))</f>
        <v>Tarea 53</v>
      </c>
    </row>
    <row r="55" spans="1:11" customFormat="1" x14ac:dyDescent="0.25">
      <c r="A55" s="94" t="s">
        <v>2</v>
      </c>
      <c r="B55" s="95" t="s">
        <v>3</v>
      </c>
      <c r="C55" s="117" t="s">
        <v>119</v>
      </c>
      <c r="D55" s="95" t="s">
        <v>120</v>
      </c>
      <c r="E55" s="119">
        <v>46015</v>
      </c>
      <c r="F55" s="119">
        <v>46017</v>
      </c>
      <c r="G55" s="119">
        <v>46017</v>
      </c>
      <c r="H55" s="45" t="str">
        <f>IF(Datos!$G55&gt;0,Datos!$G55-Datos!$E55+1 &amp; " " &amp; Idiomas!$A$29,"")</f>
        <v>3 días</v>
      </c>
      <c r="I55" s="45" t="str" cm="1">
        <f t="array" aca="1" ref="I55" ca="1">IF(OR(Datos!$G55="",Datos!$A55=""),"",IF(AND(Datos!$G55=0,Datos!$F55&gt;0,Fecha_Hoy&gt;Datos!$F55),Fecha_Hoy-Datos!$F55,IF(Datos!$F55&lt;Datos!$G55,Datos!$G55-Datos!$F55,0))&amp; " " &amp; Idiomas!$A$29)</f>
        <v>0 días</v>
      </c>
      <c r="J55" s="95" t="s">
        <v>10</v>
      </c>
      <c r="K55" s="46" t="str" cm="1">
        <f t="array" aca="1" ref="K55" ca="1">HYPERLINK("["&amp;Archivo_Nombre&amp;"]KANBAN!"&amp;IF(Tareas!$P55="","B2",Tareas!$P55),IF(Datos!$A55="","",Idiomas!$A$12&amp;" "&amp;ROW()-1))</f>
        <v>Tarea 54</v>
      </c>
    </row>
    <row r="56" spans="1:11" customFormat="1" x14ac:dyDescent="0.25">
      <c r="A56" s="91" t="s">
        <v>2</v>
      </c>
      <c r="B56" s="92" t="s">
        <v>7</v>
      </c>
      <c r="C56" s="116" t="s">
        <v>121</v>
      </c>
      <c r="D56" s="92" t="s">
        <v>122</v>
      </c>
      <c r="E56" s="118">
        <v>46023</v>
      </c>
      <c r="F56" s="118">
        <v>46023</v>
      </c>
      <c r="G56" s="118">
        <v>46023</v>
      </c>
      <c r="H56" s="43" t="str">
        <f>IF(Datos!$G56&gt;0,Datos!$G56-Datos!$E56+1 &amp; " " &amp; Idiomas!$A$29,"")</f>
        <v>1 días</v>
      </c>
      <c r="I56" s="43" t="str" cm="1">
        <f t="array" aca="1" ref="I56" ca="1">IF(OR(Datos!$G56="",Datos!$A56=""),"",IF(AND(Datos!$G56=0,Datos!$F56&gt;0,Fecha_Hoy&gt;Datos!$F56),Fecha_Hoy-Datos!$F56,IF(Datos!$F56&lt;Datos!$G56,Datos!$G56-Datos!$F56,0))&amp; " " &amp; Idiomas!$A$29)</f>
        <v>0 días</v>
      </c>
      <c r="J56" s="92" t="s">
        <v>10</v>
      </c>
      <c r="K56" s="44" t="str" cm="1">
        <f t="array" aca="1" ref="K56" ca="1">HYPERLINK("["&amp;Archivo_Nombre&amp;"]KANBAN!"&amp;IF(Tareas!$P56="","B2",Tareas!$P56),IF(Datos!$A56="","",Idiomas!$A$12&amp;" "&amp;ROW()-1))</f>
        <v>Tarea 55</v>
      </c>
    </row>
    <row r="57" spans="1:11" customFormat="1" x14ac:dyDescent="0.25">
      <c r="A57" s="94" t="s">
        <v>2</v>
      </c>
      <c r="B57" s="95" t="s">
        <v>7</v>
      </c>
      <c r="C57" s="95" t="s">
        <v>123</v>
      </c>
      <c r="D57" s="95" t="s">
        <v>124</v>
      </c>
      <c r="E57" s="119">
        <v>46026</v>
      </c>
      <c r="F57" s="119">
        <v>46026</v>
      </c>
      <c r="G57" s="119">
        <v>46026</v>
      </c>
      <c r="H57" s="45" t="str">
        <f>IF(Datos!$G57&gt;0,Datos!$G57-Datos!$E57+1 &amp; " " &amp; Idiomas!$A$29,"")</f>
        <v>1 días</v>
      </c>
      <c r="I57" s="45" t="str" cm="1">
        <f t="array" aca="1" ref="I57" ca="1">IF(OR(Datos!$G57="",Datos!$A57=""),"",IF(AND(Datos!$G57=0,Datos!$F57&gt;0,Fecha_Hoy&gt;Datos!$F57),Fecha_Hoy-Datos!$F57,IF(Datos!$F57&lt;Datos!$G57,Datos!$G57-Datos!$F57,0))&amp; " " &amp; Idiomas!$A$29)</f>
        <v>0 días</v>
      </c>
      <c r="J57" s="95" t="s">
        <v>85</v>
      </c>
      <c r="K57" s="46" t="str" cm="1">
        <f t="array" aca="1" ref="K57" ca="1">HYPERLINK("["&amp;Archivo_Nombre&amp;"]KANBAN!"&amp;IF(Tareas!$P57="","B2",Tareas!$P57),IF(Datos!$A57="","",Idiomas!$A$12&amp;" "&amp;ROW()-1))</f>
        <v>Tarea 56</v>
      </c>
    </row>
    <row r="58" spans="1:11" customFormat="1" x14ac:dyDescent="0.25">
      <c r="A58" s="91" t="s">
        <v>2</v>
      </c>
      <c r="B58" s="92" t="s">
        <v>3</v>
      </c>
      <c r="C58" s="92" t="s">
        <v>125</v>
      </c>
      <c r="D58" s="92" t="s">
        <v>126</v>
      </c>
      <c r="E58" s="118">
        <v>46028</v>
      </c>
      <c r="F58" s="118">
        <v>46028</v>
      </c>
      <c r="G58" s="118">
        <v>46028</v>
      </c>
      <c r="H58" s="43" t="str">
        <f>IF(Datos!$G58&gt;0,Datos!$G58-Datos!$E58+1 &amp; " " &amp; Idiomas!$A$29,"")</f>
        <v>1 días</v>
      </c>
      <c r="I58" s="43" t="str" cm="1">
        <f t="array" aca="1" ref="I58" ca="1">IF(OR(Datos!$G58="",Datos!$A58=""),"",IF(AND(Datos!$G58=0,Datos!$F58&gt;0,Fecha_Hoy&gt;Datos!$F58),Fecha_Hoy-Datos!$F58,IF(Datos!$F58&lt;Datos!$G58,Datos!$G58-Datos!$F58,0))&amp; " " &amp; Idiomas!$A$29)</f>
        <v>0 días</v>
      </c>
      <c r="J58" s="92" t="s">
        <v>33</v>
      </c>
      <c r="K58" s="44" t="str" cm="1">
        <f t="array" aca="1" ref="K58" ca="1">HYPERLINK("["&amp;Archivo_Nombre&amp;"]KANBAN!"&amp;IF(Tareas!$P58="","B2",Tareas!$P58),IF(Datos!$A58="","",Idiomas!$A$12&amp;" "&amp;ROW()-1))</f>
        <v>Tarea 57</v>
      </c>
    </row>
    <row r="59" spans="1:11" customFormat="1" x14ac:dyDescent="0.25">
      <c r="A59" s="94" t="s">
        <v>2</v>
      </c>
      <c r="B59" s="95" t="s">
        <v>7</v>
      </c>
      <c r="C59" s="95" t="s">
        <v>127</v>
      </c>
      <c r="D59" s="95" t="s">
        <v>128</v>
      </c>
      <c r="E59" s="96">
        <v>46031</v>
      </c>
      <c r="F59" s="96">
        <v>46031</v>
      </c>
      <c r="G59" s="96">
        <v>46031</v>
      </c>
      <c r="H59" s="45" t="str">
        <f>IF(Datos!$G59&gt;0,Datos!$G59-Datos!$E59+1 &amp; " " &amp; Idiomas!$A$29,"")</f>
        <v>1 días</v>
      </c>
      <c r="I59" s="45" t="str" cm="1">
        <f t="array" aca="1" ref="I59" ca="1">IF(OR(Datos!$G59="",Datos!$A59=""),"",IF(AND(Datos!$G59=0,Datos!$F59&gt;0,Fecha_Hoy&gt;Datos!$F59),Fecha_Hoy-Datos!$F59,IF(Datos!$F59&lt;Datos!$G59,Datos!$G59-Datos!$F59,0))&amp; " " &amp; Idiomas!$A$29)</f>
        <v>0 días</v>
      </c>
      <c r="J59" s="95" t="s">
        <v>13</v>
      </c>
      <c r="K59" s="46" t="str" cm="1">
        <f t="array" aca="1" ref="K59" ca="1">HYPERLINK("["&amp;Archivo_Nombre&amp;"]KANBAN!"&amp;IF(Tareas!$P59="","B2",Tareas!$P59),IF(Datos!$A59="","",Idiomas!$A$12&amp;" "&amp;ROW()-1))</f>
        <v>Tarea 58</v>
      </c>
    </row>
    <row r="60" spans="1:11" customFormat="1" x14ac:dyDescent="0.25">
      <c r="A60" s="91" t="s">
        <v>2</v>
      </c>
      <c r="B60" s="92" t="s">
        <v>7</v>
      </c>
      <c r="C60" s="92" t="s">
        <v>129</v>
      </c>
      <c r="D60" s="92" t="s">
        <v>130</v>
      </c>
      <c r="E60" s="93">
        <v>46031</v>
      </c>
      <c r="F60" s="93">
        <v>46031</v>
      </c>
      <c r="G60" s="93">
        <v>46031</v>
      </c>
      <c r="H60" s="43" t="str">
        <f>IF(Datos!$G60&gt;0,Datos!$G60-Datos!$E60+1 &amp; " " &amp; Idiomas!$A$29,"")</f>
        <v>1 días</v>
      </c>
      <c r="I60" s="43" t="str" cm="1">
        <f t="array" aca="1" ref="I60" ca="1">IF(OR(Datos!$G60="",Datos!$A60=""),"",IF(AND(Datos!$G60=0,Datos!$F60&gt;0,Fecha_Hoy&gt;Datos!$F60),Fecha_Hoy-Datos!$F60,IF(Datos!$F60&lt;Datos!$G60,Datos!$G60-Datos!$F60,0))&amp; " " &amp; Idiomas!$A$29)</f>
        <v>0 días</v>
      </c>
      <c r="J60" s="92" t="s">
        <v>6</v>
      </c>
      <c r="K60" s="44" t="str" cm="1">
        <f t="array" aca="1" ref="K60" ca="1">HYPERLINK("["&amp;Archivo_Nombre&amp;"]KANBAN!"&amp;IF(Tareas!$P60="","B2",Tareas!$P60),IF(Datos!$A60="","",Idiomas!$A$12&amp;" "&amp;ROW()-1))</f>
        <v>Tarea 59</v>
      </c>
    </row>
    <row r="61" spans="1:11" customFormat="1" x14ac:dyDescent="0.25">
      <c r="A61" s="94" t="s">
        <v>2</v>
      </c>
      <c r="B61" s="95" t="s">
        <v>7</v>
      </c>
      <c r="C61" s="95" t="s">
        <v>131</v>
      </c>
      <c r="D61" s="95" t="s">
        <v>132</v>
      </c>
      <c r="E61" s="96">
        <v>46031</v>
      </c>
      <c r="F61" s="96">
        <v>46031</v>
      </c>
      <c r="G61" s="96">
        <v>46031</v>
      </c>
      <c r="H61" s="45" t="str">
        <f>IF(Datos!$G61&gt;0,Datos!$G61-Datos!$E61+1 &amp; " " &amp; Idiomas!$A$29,"")</f>
        <v>1 días</v>
      </c>
      <c r="I61" s="45" t="str" cm="1">
        <f t="array" aca="1" ref="I61" ca="1">IF(OR(Datos!$G61="",Datos!$A61=""),"",IF(AND(Datos!$G61=0,Datos!$F61&gt;0,Fecha_Hoy&gt;Datos!$F61),Fecha_Hoy-Datos!$F61,IF(Datos!$F61&lt;Datos!$G61,Datos!$G61-Datos!$F61,0))&amp; " " &amp; Idiomas!$A$29)</f>
        <v>0 días</v>
      </c>
      <c r="J61" s="95" t="s">
        <v>10</v>
      </c>
      <c r="K61" s="46" t="str" cm="1">
        <f t="array" aca="1" ref="K61" ca="1">HYPERLINK("["&amp;Archivo_Nombre&amp;"]KANBAN!"&amp;IF(Tareas!$P61="","B2",Tareas!$P61),IF(Datos!$A61="","",Idiomas!$A$12&amp;" "&amp;ROW()-1))</f>
        <v>Tarea 60</v>
      </c>
    </row>
    <row r="62" spans="1:11" customFormat="1" x14ac:dyDescent="0.2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2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2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2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2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2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2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2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2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2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2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2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2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2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2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2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2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2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2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2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2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2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2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5" hidden="1" x14ac:dyDescent="0.25">
      <c r="A85" s="94" t="s">
        <v>2</v>
      </c>
      <c r="B85" s="95" t="s">
        <v>26</v>
      </c>
      <c r="C85" s="103" t="s">
        <v>133</v>
      </c>
      <c r="D85" s="103" t="s">
        <v>134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135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2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2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2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2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2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2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2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2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2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2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2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2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2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2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2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2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>
    <filterColumn colId="9">
      <filters blank="1">
        <filter val="Cristian Becerra"/>
        <filter val="Cristian Becerra, Kevin Castillo"/>
        <filter val="Cristian Becerra, Kevin Castillo, Ismael Silva"/>
        <filter val="Ing. Jenny Ruiz"/>
        <filter val="Ismael Silva"/>
        <filter val="Kevin Castillo"/>
      </filters>
    </filterColumn>
  </autoFilter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59:E101 E2:E4 E11:E13 G59:G101 F59:F101 F2:F14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ignoredErrors>
    <ignoredError sqref="H16" evalError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9" sqref="F9"/>
    </sheetView>
  </sheetViews>
  <sheetFormatPr baseColWidth="10" defaultColWidth="0" defaultRowHeight="15" zeroHeight="1" x14ac:dyDescent="0.25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85546875" style="2" hidden="1"/>
  </cols>
  <sheetData>
    <row r="1" spans="2:9" ht="15" customHeight="1" x14ac:dyDescent="0.25"/>
    <row r="2" spans="2:9" ht="15" customHeight="1" x14ac:dyDescent="0.25">
      <c r="B2" s="120" t="str">
        <f>"                " &amp; Idiomas!$A$2 &amp; " v3 ©️            "</f>
        <v xml:space="preserve">                Tablero KANBAN v3 ©️            </v>
      </c>
      <c r="C2" s="120"/>
      <c r="E2" s="7" t="s">
        <v>136</v>
      </c>
      <c r="F2" s="127" t="str">
        <f>Idiomas!$A$2 &amp; " | #ExcelPedroWave"</f>
        <v>Tablero KANBAN | #ExcelPedroWave</v>
      </c>
      <c r="G2" s="127"/>
      <c r="H2" s="127"/>
    </row>
    <row r="3" spans="2:9" ht="15" customHeight="1" x14ac:dyDescent="0.25">
      <c r="E3" s="8" t="s">
        <v>137</v>
      </c>
      <c r="F3" s="127" t="s">
        <v>138</v>
      </c>
      <c r="G3" s="127"/>
      <c r="H3" s="127"/>
    </row>
    <row r="4" spans="2:9" x14ac:dyDescent="0.25">
      <c r="B4" s="89" t="str">
        <f>Idiomas!$A$3</f>
        <v>Idioma</v>
      </c>
      <c r="E4" s="8" t="s">
        <v>139</v>
      </c>
      <c r="F4" s="128" t="s">
        <v>140</v>
      </c>
      <c r="G4" s="128"/>
      <c r="H4" s="128"/>
    </row>
    <row r="5" spans="2:9" ht="15" customHeight="1" x14ac:dyDescent="0.25">
      <c r="B5" s="90" t="s">
        <v>141</v>
      </c>
      <c r="C5" s="37"/>
      <c r="D5" s="39"/>
      <c r="E5" s="39"/>
      <c r="F5" s="39"/>
    </row>
    <row r="6" spans="2:9" ht="15" customHeight="1" x14ac:dyDescent="0.2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">
      <c r="C7" s="38"/>
      <c r="D7" s="39"/>
      <c r="E7" s="39"/>
      <c r="F7" s="39"/>
    </row>
    <row r="8" spans="2:9" ht="15.75" thickBot="1" x14ac:dyDescent="0.3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142</v>
      </c>
    </row>
    <row r="9" spans="2:9" x14ac:dyDescent="0.25">
      <c r="B9" s="75" t="s">
        <v>143</v>
      </c>
      <c r="D9" s="72" t="s">
        <v>3</v>
      </c>
      <c r="F9" s="68" t="s">
        <v>13</v>
      </c>
      <c r="H9" s="66" t="str">
        <f>Idiomas!$A$12</f>
        <v>Tarea</v>
      </c>
      <c r="I9" s="85">
        <v>1</v>
      </c>
    </row>
    <row r="10" spans="2:9" x14ac:dyDescent="0.25">
      <c r="B10" s="76" t="s">
        <v>82</v>
      </c>
      <c r="D10" s="73" t="s">
        <v>7</v>
      </c>
      <c r="F10" s="69" t="s">
        <v>6</v>
      </c>
      <c r="H10" s="67" t="str">
        <f>Idiomas!$A$13</f>
        <v>Descripción</v>
      </c>
      <c r="I10" s="87">
        <v>2</v>
      </c>
    </row>
    <row r="11" spans="2:9" ht="15.75" thickBot="1" x14ac:dyDescent="0.3">
      <c r="B11" s="77" t="s">
        <v>144</v>
      </c>
      <c r="D11" s="74" t="s">
        <v>26</v>
      </c>
      <c r="F11" s="70" t="s">
        <v>10</v>
      </c>
      <c r="H11" s="79" t="str">
        <f>Idiomas!$A$14</f>
        <v>Inicio</v>
      </c>
      <c r="I11" s="86">
        <v>3</v>
      </c>
    </row>
    <row r="12" spans="2:9" x14ac:dyDescent="0.25">
      <c r="B12" s="76" t="s">
        <v>2</v>
      </c>
      <c r="F12" s="69" t="s">
        <v>85</v>
      </c>
      <c r="H12" s="67" t="str">
        <f>Idiomas!$A$15</f>
        <v>Previsto</v>
      </c>
      <c r="I12" s="87">
        <v>4</v>
      </c>
    </row>
    <row r="13" spans="2:9" ht="15.75" thickBot="1" x14ac:dyDescent="0.3">
      <c r="B13" s="77" t="s">
        <v>145</v>
      </c>
      <c r="F13" s="70" t="s">
        <v>33</v>
      </c>
      <c r="H13" s="79" t="str">
        <f>Idiomas!$A$16</f>
        <v>Final</v>
      </c>
      <c r="I13" s="86">
        <v>5</v>
      </c>
    </row>
    <row r="14" spans="2:9" x14ac:dyDescent="0.25">
      <c r="B14" s="76" t="s">
        <v>143</v>
      </c>
      <c r="F14" s="68" t="s">
        <v>88</v>
      </c>
      <c r="H14" s="67" t="str">
        <f>Idiomas!$A$17</f>
        <v>Duración</v>
      </c>
      <c r="I14" s="87">
        <v>6</v>
      </c>
    </row>
    <row r="15" spans="2:9" x14ac:dyDescent="0.25">
      <c r="B15" s="77" t="s">
        <v>82</v>
      </c>
      <c r="F15" s="69"/>
      <c r="H15" s="79" t="str">
        <f>Idiomas!$A$18</f>
        <v>Retraso</v>
      </c>
      <c r="I15" s="86">
        <v>7</v>
      </c>
    </row>
    <row r="16" spans="2:9" ht="15.75" thickBot="1" x14ac:dyDescent="0.3">
      <c r="B16" s="76"/>
      <c r="F16" s="70"/>
      <c r="H16" s="80" t="str">
        <f>Idiomas!$A$19</f>
        <v>Asignado</v>
      </c>
      <c r="I16" s="88">
        <v>8</v>
      </c>
    </row>
    <row r="17" spans="2:9" x14ac:dyDescent="0.25">
      <c r="B17" s="77"/>
      <c r="F17" s="70"/>
      <c r="H17" s="82" t="str">
        <f>Idiomas!$A$4</f>
        <v>AVISO:</v>
      </c>
      <c r="I17" s="84" t="s">
        <v>146</v>
      </c>
    </row>
    <row r="18" spans="2:9" ht="15.75" thickBot="1" x14ac:dyDescent="0.3">
      <c r="B18" s="78"/>
      <c r="F18" s="69"/>
      <c r="H18" s="83" t="str">
        <f>Idiomas!$A$31</f>
        <v>Cambiar números del 2 al 8</v>
      </c>
    </row>
    <row r="19" spans="2:9" ht="15.75" thickBot="1" x14ac:dyDescent="0.3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.75" thickBot="1" x14ac:dyDescent="0.3">
      <c r="B20" s="64" t="s">
        <v>144</v>
      </c>
      <c r="F20" s="69"/>
    </row>
    <row r="21" spans="2:9" x14ac:dyDescent="0.25">
      <c r="F21" s="70"/>
    </row>
    <row r="22" spans="2:9" ht="15.75" thickBot="1" x14ac:dyDescent="0.3">
      <c r="B22" s="2" t="str">
        <f>Idiomas!$A$11</f>
        <v>Nombre archivo en Excel para la Web</v>
      </c>
      <c r="F22" s="69"/>
    </row>
    <row r="23" spans="2:9" ht="15.75" thickBot="1" x14ac:dyDescent="0.3">
      <c r="B23" s="124" t="s">
        <v>147</v>
      </c>
      <c r="C23" s="125"/>
      <c r="D23" s="126"/>
      <c r="F23" s="71"/>
    </row>
    <row r="24" spans="2:9" x14ac:dyDescent="0.2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1" width="10.85546875" style="2" customWidth="1"/>
    <col min="2" max="2" width="9.855468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85546875" hidden="1"/>
  </cols>
  <sheetData>
    <row r="1" spans="1:16" ht="16.5" thickTop="1" thickBot="1" x14ac:dyDescent="0.3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148</v>
      </c>
      <c r="F1" s="50" t="s">
        <v>149</v>
      </c>
      <c r="G1" s="50" t="s">
        <v>150</v>
      </c>
      <c r="H1" s="50" t="s">
        <v>151</v>
      </c>
      <c r="I1" s="50" t="s">
        <v>152</v>
      </c>
      <c r="J1" s="50" t="s">
        <v>153</v>
      </c>
      <c r="K1" s="50" t="s">
        <v>154</v>
      </c>
      <c r="L1" s="50" t="s">
        <v>155</v>
      </c>
      <c r="M1" s="50" t="s">
        <v>156</v>
      </c>
      <c r="N1" s="50" t="s">
        <v>157</v>
      </c>
      <c r="O1" s="50" t="str">
        <f>Idiomas!$A$21</f>
        <v>Celda</v>
      </c>
      <c r="P1" s="51" t="s">
        <v>158</v>
      </c>
    </row>
    <row r="2" spans="1:16" ht="16.5" thickTop="1" thickBot="1" x14ac:dyDescent="0.3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6.5" thickTop="1" thickBot="1" x14ac:dyDescent="0.3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6.5" thickTop="1" thickBot="1" x14ac:dyDescent="0.3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/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/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/>
      </c>
    </row>
    <row r="5" spans="1:16" ht="16.5" thickTop="1" thickBot="1" x14ac:dyDescent="0.3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/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/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/>
      </c>
    </row>
    <row r="6" spans="1:16" ht="16.5" thickTop="1" thickBot="1" x14ac:dyDescent="0.3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/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/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/>
      </c>
    </row>
    <row r="7" spans="1:16" ht="16.5" thickTop="1" thickBot="1" x14ac:dyDescent="0.3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/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/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/>
      </c>
    </row>
    <row r="8" spans="1:16" ht="16.5" thickTop="1" thickBot="1" x14ac:dyDescent="0.3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/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/>
      </c>
    </row>
    <row r="9" spans="1:16" ht="16.5" thickTop="1" thickBot="1" x14ac:dyDescent="0.3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/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/>
      </c>
    </row>
    <row r="10" spans="1:16" ht="16.5" thickTop="1" thickBot="1" x14ac:dyDescent="0.3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/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/>
      </c>
    </row>
    <row r="11" spans="1:16" ht="16.5" thickTop="1" thickBot="1" x14ac:dyDescent="0.3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3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/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/>
      </c>
    </row>
    <row r="12" spans="1:16" ht="16.5" thickTop="1" thickBot="1" x14ac:dyDescent="0.3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/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/>
      </c>
    </row>
    <row r="13" spans="1:16" ht="16.5" thickTop="1" thickBot="1" x14ac:dyDescent="0.3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1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/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/>
      </c>
    </row>
    <row r="14" spans="1:16" ht="16.5" thickTop="1" thickBot="1" x14ac:dyDescent="0.3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3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/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/>
      </c>
    </row>
    <row r="15" spans="1:16" ht="16.5" thickTop="1" thickBot="1" x14ac:dyDescent="0.3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1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6.5" thickTop="1" thickBot="1" x14ac:dyDescent="0.3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1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6.5" thickTop="1" thickBot="1" x14ac:dyDescent="0.3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1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6.5" thickTop="1" thickBot="1" x14ac:dyDescent="0.3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2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6.5" thickTop="1" thickBot="1" x14ac:dyDescent="0.3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1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6.5" thickTop="1" thickBot="1" x14ac:dyDescent="0.3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1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6.5" thickTop="1" thickBot="1" x14ac:dyDescent="0.3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1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6.5" thickTop="1" thickBot="1" x14ac:dyDescent="0.3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1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6.5" thickTop="1" thickBot="1" x14ac:dyDescent="0.3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1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6.5" thickTop="1" thickBot="1" x14ac:dyDescent="0.3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1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6.5" thickTop="1" thickBot="1" x14ac:dyDescent="0.3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1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6.5" thickTop="1" thickBot="1" x14ac:dyDescent="0.3">
      <c r="A26" s="52" t="str">
        <f>IFERROR(IF(Datos!$A26="","",Idiomas!$A$12&amp;" "&amp;ROW()-1),"")</f>
        <v>Tarea 25</v>
      </c>
      <c r="B26" s="53">
        <f>IFERROR(MATCH(Datos!$A26,Configura!$B$9:$B$18,0),0)</f>
        <v>4</v>
      </c>
      <c r="C26" s="53">
        <f>IFERROR(MATCH(Datos!$B26,Configura!$D$9:$D$11,0),0)</f>
        <v>1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6.5" thickTop="1" thickBot="1" x14ac:dyDescent="0.3">
      <c r="A27" s="56" t="str">
        <f>IFERROR(IF(Datos!$A27="","",Idiomas!$A$12&amp;" "&amp;ROW()-1),"")</f>
        <v>Tarea 26</v>
      </c>
      <c r="B27" s="57">
        <f>IFERROR(MATCH(Datos!$A27,Configura!$B$9:$B$18,0),0)</f>
        <v>4</v>
      </c>
      <c r="C27" s="57">
        <f>IFERROR(MATCH(Datos!$B27,Configura!$D$9:$D$11,0),0)</f>
        <v>1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6.5" thickTop="1" thickBot="1" x14ac:dyDescent="0.3">
      <c r="A28" s="52" t="str">
        <f>IFERROR(IF(Datos!$A28="","",Idiomas!$A$12&amp;" "&amp;ROW()-1),"")</f>
        <v>Tarea 27</v>
      </c>
      <c r="B28" s="53">
        <f>IFERROR(MATCH(Datos!$A28,Configura!$B$9:$B$18,0),0)</f>
        <v>4</v>
      </c>
      <c r="C28" s="53">
        <f>IFERROR(MATCH(Datos!$B28,Configura!$D$9:$D$11,0),0)</f>
        <v>1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6.5" thickTop="1" thickBot="1" x14ac:dyDescent="0.3">
      <c r="A29" s="56" t="str">
        <f>IFERROR(IF(Datos!$A29="","",Idiomas!$A$12&amp;" "&amp;ROW()-1),"")</f>
        <v>Tarea 28</v>
      </c>
      <c r="B29" s="57">
        <f>IFERROR(MATCH(Datos!$A29,Configura!$B$9:$B$18,0),0)</f>
        <v>4</v>
      </c>
      <c r="C29" s="57">
        <f>IFERROR(MATCH(Datos!$B29,Configura!$D$9:$D$11,0),0)</f>
        <v>1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1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6.5" thickTop="1" thickBot="1" x14ac:dyDescent="0.3">
      <c r="A30" s="52" t="str">
        <f>IFERROR(IF(Datos!$A30="","",Idiomas!$A$12&amp;" "&amp;ROW()-1),"")</f>
        <v>Tarea 29</v>
      </c>
      <c r="B30" s="53">
        <f>IFERROR(MATCH(Datos!$A30,Configura!$B$9:$B$18,0),0)</f>
        <v>4</v>
      </c>
      <c r="C30" s="53">
        <f>IFERROR(MATCH(Datos!$B30,Configura!$D$9:$D$11,0),0)</f>
        <v>1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1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6.5" thickTop="1" thickBot="1" x14ac:dyDescent="0.3">
      <c r="A31" s="56" t="str">
        <f>IFERROR(IF(Datos!$A31="","",Idiomas!$A$12&amp;" "&amp;ROW()-1),"")</f>
        <v>Tarea 30</v>
      </c>
      <c r="B31" s="57">
        <f>IFERROR(MATCH(Datos!$A31,Configura!$B$9:$B$18,0),0)</f>
        <v>4</v>
      </c>
      <c r="C31" s="57">
        <f>IFERROR(MATCH(Datos!$B31,Configura!$D$9:$D$11,0),0)</f>
        <v>1</v>
      </c>
      <c r="D31" s="57" cm="1">
        <f t="array" aca="1" ref="D31" ca="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1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6.5" thickTop="1" thickBot="1" x14ac:dyDescent="0.3">
      <c r="A32" s="52" t="str">
        <f>IFERROR(IF(Datos!$A32="","",Idiomas!$A$12&amp;" "&amp;ROW()-1),"")</f>
        <v>Tarea 31</v>
      </c>
      <c r="B32" s="53">
        <f>IFERROR(MATCH(Datos!$A32,Configura!$B$9:$B$18,0),0)</f>
        <v>4</v>
      </c>
      <c r="C32" s="53">
        <f>IFERROR(MATCH(Datos!$B32,Configura!$D$9:$D$11,0),0)</f>
        <v>1</v>
      </c>
      <c r="D32" s="53" cm="1">
        <f t="array" aca="1" ref="D32" ca="1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1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6.5" thickTop="1" thickBot="1" x14ac:dyDescent="0.3">
      <c r="A33" s="56" t="str">
        <f>IFERROR(IF(Datos!$A33="","",Idiomas!$A$12&amp;" "&amp;ROW()-1),"")</f>
        <v>Tarea 32</v>
      </c>
      <c r="B33" s="57">
        <f>IFERROR(MATCH(Datos!$A33,Configura!$B$9:$B$18,0),0)</f>
        <v>4</v>
      </c>
      <c r="C33" s="57">
        <f>IFERROR(MATCH(Datos!$B33,Configura!$D$9:$D$11,0),0)</f>
        <v>1</v>
      </c>
      <c r="D33" s="57" cm="1">
        <f t="array" aca="1" ref="D33" ca="1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1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6.5" thickTop="1" thickBot="1" x14ac:dyDescent="0.3">
      <c r="A34" s="52" t="str">
        <f>IFERROR(IF(Datos!$A34="","",Idiomas!$A$12&amp;" "&amp;ROW()-1),"")</f>
        <v>Tarea 33</v>
      </c>
      <c r="B34" s="53">
        <f>IFERROR(MATCH(Datos!$A34,Configura!$B$9:$B$18,0),0)</f>
        <v>4</v>
      </c>
      <c r="C34" s="53">
        <f>IFERROR(MATCH(Datos!$B34,Configura!$D$9:$D$11,0),0)</f>
        <v>1</v>
      </c>
      <c r="D34" s="53" cm="1">
        <f t="array" aca="1" ref="D34" ca="1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1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6.5" thickTop="1" thickBot="1" x14ac:dyDescent="0.3">
      <c r="A35" s="56" t="str">
        <f>IFERROR(IF(Datos!$A35="","",Idiomas!$A$12&amp;" "&amp;ROW()-1),"")</f>
        <v>Tarea 34</v>
      </c>
      <c r="B35" s="57">
        <f>IFERROR(MATCH(Datos!$A35,Configura!$B$9:$B$18,0),0)</f>
        <v>4</v>
      </c>
      <c r="C35" s="57">
        <f>IFERROR(MATCH(Datos!$B35,Configura!$D$9:$D$11,0),0)</f>
        <v>1</v>
      </c>
      <c r="D35" s="57" cm="1">
        <f t="array" aca="1" ref="D35" ca="1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1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6.5" thickTop="1" thickBot="1" x14ac:dyDescent="0.3">
      <c r="A36" s="52" t="str">
        <f>IFERROR(IF(Datos!$A36="","",Idiomas!$A$12&amp;" "&amp;ROW()-1),"")</f>
        <v>Tarea 35</v>
      </c>
      <c r="B36" s="53">
        <f>IFERROR(MATCH(Datos!$A36,Configura!$B$9:$B$18,0),0)</f>
        <v>4</v>
      </c>
      <c r="C36" s="53">
        <f>IFERROR(MATCH(Datos!$B36,Configura!$D$9:$D$11,0),0)</f>
        <v>1</v>
      </c>
      <c r="D36" s="53" cm="1">
        <f t="array" aca="1" ref="D36" ca="1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1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6.5" thickTop="1" thickBot="1" x14ac:dyDescent="0.3">
      <c r="A37" s="56" t="str">
        <f>IFERROR(IF(Datos!$A37="","",Idiomas!$A$12&amp;" "&amp;ROW()-1),"")</f>
        <v>Tarea 36</v>
      </c>
      <c r="B37" s="57">
        <f>IFERROR(MATCH(Datos!$A37,Configura!$B$9:$B$18,0),0)</f>
        <v>4</v>
      </c>
      <c r="C37" s="57">
        <f>IFERROR(MATCH(Datos!$B37,Configura!$D$9:$D$11,0),0)</f>
        <v>2</v>
      </c>
      <c r="D37" s="57" cm="1">
        <f t="array" aca="1" ref="D37" ca="1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1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6.5" thickTop="1" thickBot="1" x14ac:dyDescent="0.3">
      <c r="A38" s="52" t="str">
        <f>IFERROR(IF(Datos!$A38="","",Idiomas!$A$12&amp;" "&amp;ROW()-1),"")</f>
        <v>Tarea 37</v>
      </c>
      <c r="B38" s="53">
        <f>IFERROR(MATCH(Datos!$A38,Configura!$B$9:$B$18,0),0)</f>
        <v>2</v>
      </c>
      <c r="C38" s="53">
        <f>IFERROR(MATCH(Datos!$B38,Configura!$D$9:$D$11,0),0)</f>
        <v>2</v>
      </c>
      <c r="D38" s="53" cm="1">
        <f t="array" aca="1" ref="D38" ca="1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1</v>
      </c>
      <c r="E38" s="54" t="str">
        <f t="shared" ca="1" si="4"/>
        <v/>
      </c>
      <c r="F38" s="54" t="str">
        <f t="shared" ca="1" si="4"/>
        <v>H-24</v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>H-24</v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>H24:H31</v>
      </c>
    </row>
    <row r="39" spans="1:16" ht="16.5" thickTop="1" thickBot="1" x14ac:dyDescent="0.3">
      <c r="A39" s="56" t="str">
        <f>IFERROR(IF(Datos!$A39="","",Idiomas!$A$12&amp;" "&amp;ROW()-1),"")</f>
        <v>Tarea 38</v>
      </c>
      <c r="B39" s="57">
        <f>IFERROR(MATCH(Datos!$A39,Configura!$B$9:$B$18,0),0)</f>
        <v>2</v>
      </c>
      <c r="C39" s="57">
        <f>IFERROR(MATCH(Datos!$B39,Configura!$D$9:$D$11,0),0)</f>
        <v>2</v>
      </c>
      <c r="D39" s="57" cm="1">
        <f t="array" aca="1" ref="D39" ca="1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1</v>
      </c>
      <c r="E39" s="58" t="str">
        <f t="shared" ca="1" si="4"/>
        <v/>
      </c>
      <c r="F39" s="58" t="str">
        <f t="shared" ca="1" si="4"/>
        <v>H-15</v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>H-15</v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>H15:H22</v>
      </c>
    </row>
    <row r="40" spans="1:16" ht="16.5" thickTop="1" thickBot="1" x14ac:dyDescent="0.3">
      <c r="A40" s="52" t="str">
        <f>IFERROR(IF(Datos!$A40="","",Idiomas!$A$12&amp;" "&amp;ROW()-1),"")</f>
        <v>Tarea 39</v>
      </c>
      <c r="B40" s="53">
        <f>IFERROR(MATCH(Datos!$A40,Configura!$B$9:$B$18,0),0)</f>
        <v>2</v>
      </c>
      <c r="C40" s="53">
        <f>IFERROR(MATCH(Datos!$B40,Configura!$D$9:$D$11,0),0)</f>
        <v>1</v>
      </c>
      <c r="D40" s="53" cm="1">
        <f t="array" aca="1" ref="D40" ca="1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1</v>
      </c>
      <c r="E40" s="54" t="str">
        <f t="shared" ca="1" si="4"/>
        <v/>
      </c>
      <c r="F40" s="54" t="str">
        <f t="shared" ca="1" si="4"/>
        <v>H-6</v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>H-6</v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>H6:H13</v>
      </c>
    </row>
    <row r="41" spans="1:16" ht="16.5" thickTop="1" thickBot="1" x14ac:dyDescent="0.3">
      <c r="A41" s="56" t="str">
        <f>IFERROR(IF(Datos!$A41="","",Idiomas!$A$12&amp;" "&amp;ROW()-1),"")</f>
        <v>Tarea 40</v>
      </c>
      <c r="B41" s="57">
        <f>IFERROR(MATCH(Datos!$A41,Configura!$B$9:$B$18,0),0)</f>
        <v>4</v>
      </c>
      <c r="C41" s="57">
        <f>IFERROR(MATCH(Datos!$B41,Configura!$D$9:$D$11,0),0)</f>
        <v>1</v>
      </c>
      <c r="D41" s="57" cm="1">
        <f t="array" aca="1" ref="D41" ca="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1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>R-195</v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>R-195</v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>R195:R202</v>
      </c>
    </row>
    <row r="42" spans="1:16" ht="16.5" thickTop="1" thickBot="1" x14ac:dyDescent="0.3">
      <c r="A42" s="52" t="str">
        <f>IFERROR(IF(Datos!$A42="","",Idiomas!$A$12&amp;" "&amp;ROW()-1),"")</f>
        <v>Tarea 41</v>
      </c>
      <c r="B42" s="53">
        <f>IFERROR(MATCH(Datos!$A42,Configura!$B$9:$B$18,0),0)</f>
        <v>4</v>
      </c>
      <c r="C42" s="53">
        <f>IFERROR(MATCH(Datos!$B42,Configura!$D$9:$D$11,0),0)</f>
        <v>1</v>
      </c>
      <c r="D42" s="53" cm="1">
        <f t="array" aca="1" ref="D42" ca="1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1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>R-186</v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>R-186</v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>R186:R193</v>
      </c>
    </row>
    <row r="43" spans="1:16" ht="16.5" thickTop="1" thickBot="1" x14ac:dyDescent="0.3">
      <c r="A43" s="56" t="str">
        <f>IFERROR(IF(Datos!$A43="","",Idiomas!$A$12&amp;" "&amp;ROW()-1),"")</f>
        <v>Tarea 42</v>
      </c>
      <c r="B43" s="57">
        <f>IFERROR(MATCH(Datos!$A43,Configura!$B$9:$B$18,0),0)</f>
        <v>4</v>
      </c>
      <c r="C43" s="57">
        <f>IFERROR(MATCH(Datos!$B43,Configura!$D$9:$D$11,0),0)</f>
        <v>1</v>
      </c>
      <c r="D43" s="57" cm="1">
        <f t="array" aca="1" ref="D43" ca="1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1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>R-177</v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>R-177</v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>R177:R184</v>
      </c>
    </row>
    <row r="44" spans="1:16" ht="16.5" thickTop="1" thickBot="1" x14ac:dyDescent="0.3">
      <c r="A44" s="52" t="str">
        <f>IFERROR(IF(Datos!$A44="","",Idiomas!$A$12&amp;" "&amp;ROW()-1),"")</f>
        <v>Tarea 43</v>
      </c>
      <c r="B44" s="53">
        <f>IFERROR(MATCH(Datos!$A44,Configura!$B$9:$B$18,0),0)</f>
        <v>4</v>
      </c>
      <c r="C44" s="53">
        <f>IFERROR(MATCH(Datos!$B44,Configura!$D$9:$D$11,0),0)</f>
        <v>1</v>
      </c>
      <c r="D44" s="53" cm="1">
        <f t="array" aca="1" ref="D44" ca="1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1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>R-168</v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>R-168</v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>R168:R175</v>
      </c>
    </row>
    <row r="45" spans="1:16" ht="16.5" thickTop="1" thickBot="1" x14ac:dyDescent="0.3">
      <c r="A45" s="56" t="str">
        <f>IFERROR(IF(Datos!$A45="","",Idiomas!$A$12&amp;" "&amp;ROW()-1),"")</f>
        <v>Tarea 44</v>
      </c>
      <c r="B45" s="57">
        <f>IFERROR(MATCH(Datos!$A45,Configura!$B$9:$B$18,0),0)</f>
        <v>4</v>
      </c>
      <c r="C45" s="57">
        <f>IFERROR(MATCH(Datos!$B45,Configura!$D$9:$D$11,0),0)</f>
        <v>1</v>
      </c>
      <c r="D45" s="57" cm="1">
        <f t="array" aca="1" ref="D45" ca="1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1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>R-159</v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>R-159</v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>R159:R166</v>
      </c>
    </row>
    <row r="46" spans="1:16" ht="16.5" thickTop="1" thickBot="1" x14ac:dyDescent="0.3">
      <c r="A46" s="52" t="str">
        <f>IFERROR(IF(Datos!$A46="","",Idiomas!$A$12&amp;" "&amp;ROW()-1),"")</f>
        <v>Tarea 45</v>
      </c>
      <c r="B46" s="53">
        <f>IFERROR(MATCH(Datos!$A46,Configura!$B$9:$B$18,0),0)</f>
        <v>4</v>
      </c>
      <c r="C46" s="53">
        <f>IFERROR(MATCH(Datos!$B46,Configura!$D$9:$D$11,0),0)</f>
        <v>1</v>
      </c>
      <c r="D46" s="53" cm="1">
        <f t="array" aca="1" ref="D46" ca="1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1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>R-150</v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>R-150</v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>R150:R157</v>
      </c>
    </row>
    <row r="47" spans="1:16" ht="16.5" thickTop="1" thickBot="1" x14ac:dyDescent="0.3">
      <c r="A47" s="56" t="str">
        <f>IFERROR(IF(Datos!$A47="","",Idiomas!$A$12&amp;" "&amp;ROW()-1),"")</f>
        <v>Tarea 46</v>
      </c>
      <c r="B47" s="57">
        <f>IFERROR(MATCH(Datos!$A47,Configura!$B$9:$B$18,0),0)</f>
        <v>4</v>
      </c>
      <c r="C47" s="57">
        <f>IFERROR(MATCH(Datos!$B47,Configura!$D$9:$D$11,0),0)</f>
        <v>1</v>
      </c>
      <c r="D47" s="57" cm="1">
        <f t="array" aca="1" ref="D47" ca="1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1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>R-141</v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>R-141</v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>R141:R148</v>
      </c>
    </row>
    <row r="48" spans="1:16" ht="16.5" thickTop="1" thickBot="1" x14ac:dyDescent="0.3">
      <c r="A48" s="52" t="str">
        <f>IFERROR(IF(Datos!$A48="","",Idiomas!$A$12&amp;" "&amp;ROW()-1),"")</f>
        <v>Tarea 47</v>
      </c>
      <c r="B48" s="53">
        <f>IFERROR(MATCH(Datos!$A48,Configura!$B$9:$B$18,0),0)</f>
        <v>4</v>
      </c>
      <c r="C48" s="53">
        <f>IFERROR(MATCH(Datos!$B48,Configura!$D$9:$D$11,0),0)</f>
        <v>1</v>
      </c>
      <c r="D48" s="53" cm="1">
        <f t="array" aca="1" ref="D48" ca="1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1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>R-132</v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>R-132</v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>R132:R139</v>
      </c>
    </row>
    <row r="49" spans="1:16" ht="16.5" thickTop="1" thickBot="1" x14ac:dyDescent="0.3">
      <c r="A49" s="56" t="str">
        <f>IFERROR(IF(Datos!$A49="","",Idiomas!$A$12&amp;" "&amp;ROW()-1),"")</f>
        <v>Tarea 48</v>
      </c>
      <c r="B49" s="57">
        <f>IFERROR(MATCH(Datos!$A49,Configura!$B$9:$B$18,0),0)</f>
        <v>4</v>
      </c>
      <c r="C49" s="57">
        <f>IFERROR(MATCH(Datos!$B49,Configura!$D$9:$D$11,0),0)</f>
        <v>1</v>
      </c>
      <c r="D49" s="57" cm="1">
        <f t="array" aca="1" ref="D49" ca="1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1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>R-123</v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>R-123</v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>R123:R130</v>
      </c>
    </row>
    <row r="50" spans="1:16" ht="16.5" thickTop="1" thickBot="1" x14ac:dyDescent="0.3">
      <c r="A50" s="52" t="str">
        <f>IFERROR(IF(Datos!$A50="","",Idiomas!$A$12&amp;" "&amp;ROW()-1),"")</f>
        <v>Tarea 49</v>
      </c>
      <c r="B50" s="53">
        <f>IFERROR(MATCH(Datos!$A50,Configura!$B$9:$B$18,0),0)</f>
        <v>4</v>
      </c>
      <c r="C50" s="53">
        <f>IFERROR(MATCH(Datos!$B50,Configura!$D$9:$D$11,0),0)</f>
        <v>1</v>
      </c>
      <c r="D50" s="53" cm="1">
        <f t="array" aca="1" ref="D50" ca="1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1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>R-114</v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>R-114</v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>R114:R121</v>
      </c>
    </row>
    <row r="51" spans="1:16" ht="16.5" thickTop="1" thickBot="1" x14ac:dyDescent="0.3">
      <c r="A51" s="56" t="str">
        <f>IFERROR(IF(Datos!$A51="","",Idiomas!$A$12&amp;" "&amp;ROW()-1),"")</f>
        <v>Tarea 50</v>
      </c>
      <c r="B51" s="57">
        <f>IFERROR(MATCH(Datos!$A51,Configura!$B$9:$B$18,0),0)</f>
        <v>4</v>
      </c>
      <c r="C51" s="57">
        <f>IFERROR(MATCH(Datos!$B51,Configura!$D$9:$D$11,0),0)</f>
        <v>1</v>
      </c>
      <c r="D51" s="57" cm="1">
        <f t="array" aca="1" ref="D51" ca="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1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>R-105</v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>R-105</v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>R105:R112</v>
      </c>
    </row>
    <row r="52" spans="1:16" ht="16.5" thickTop="1" thickBot="1" x14ac:dyDescent="0.3">
      <c r="A52" s="52" t="str">
        <f>IFERROR(IF(Datos!$A52="","",Idiomas!$A$12&amp;" "&amp;ROW()-1),"")</f>
        <v>Tarea 51</v>
      </c>
      <c r="B52" s="53">
        <f>IFERROR(MATCH(Datos!$A52,Configura!$B$9:$B$18,0),0)</f>
        <v>4</v>
      </c>
      <c r="C52" s="53">
        <f>IFERROR(MATCH(Datos!$B52,Configura!$D$9:$D$11,0),0)</f>
        <v>1</v>
      </c>
      <c r="D52" s="53" cm="1">
        <f t="array" aca="1" ref="D52" ca="1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1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>R-96</v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>R-96</v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>R96:R103</v>
      </c>
    </row>
    <row r="53" spans="1:16" ht="16.5" thickTop="1" thickBot="1" x14ac:dyDescent="0.3">
      <c r="A53" s="56" t="str">
        <f>IFERROR(IF(Datos!$A53="","",Idiomas!$A$12&amp;" "&amp;ROW()-1),"")</f>
        <v>Tarea 52</v>
      </c>
      <c r="B53" s="57">
        <f>IFERROR(MATCH(Datos!$A53,Configura!$B$9:$B$18,0),0)</f>
        <v>4</v>
      </c>
      <c r="C53" s="57">
        <f>IFERROR(MATCH(Datos!$B53,Configura!$D$9:$D$11,0),0)</f>
        <v>1</v>
      </c>
      <c r="D53" s="57" cm="1">
        <f t="array" aca="1" ref="D53" ca="1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1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>R-87</v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>R-87</v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>R87:R94</v>
      </c>
    </row>
    <row r="54" spans="1:16" ht="16.5" thickTop="1" thickBot="1" x14ac:dyDescent="0.3">
      <c r="A54" s="52" t="str">
        <f>IFERROR(IF(Datos!$A54="","",Idiomas!$A$12&amp;" "&amp;ROW()-1),"")</f>
        <v>Tarea 53</v>
      </c>
      <c r="B54" s="53">
        <f>IFERROR(MATCH(Datos!$A54,Configura!$B$9:$B$18,0),0)</f>
        <v>4</v>
      </c>
      <c r="C54" s="53">
        <f>IFERROR(MATCH(Datos!$B54,Configura!$D$9:$D$11,0),0)</f>
        <v>1</v>
      </c>
      <c r="D54" s="53" cm="1">
        <f t="array" aca="1" ref="D54" ca="1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1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>R-78</v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>R-78</v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>R78:R85</v>
      </c>
    </row>
    <row r="55" spans="1:16" ht="16.5" thickTop="1" thickBot="1" x14ac:dyDescent="0.3">
      <c r="A55" s="56" t="str">
        <f>IFERROR(IF(Datos!$A55="","",Idiomas!$A$12&amp;" "&amp;ROW()-1),"")</f>
        <v>Tarea 54</v>
      </c>
      <c r="B55" s="57">
        <f>IFERROR(MATCH(Datos!$A55,Configura!$B$9:$B$18,0),0)</f>
        <v>4</v>
      </c>
      <c r="C55" s="57">
        <f>IFERROR(MATCH(Datos!$B55,Configura!$D$9:$D$11,0),0)</f>
        <v>1</v>
      </c>
      <c r="D55" s="57" cm="1">
        <f t="array" aca="1" ref="D55" ca="1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1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>R-69</v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>R-69</v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>R69:R76</v>
      </c>
    </row>
    <row r="56" spans="1:16" ht="16.5" thickTop="1" thickBot="1" x14ac:dyDescent="0.3">
      <c r="A56" s="52" t="str">
        <f>IFERROR(IF(Datos!$A56="","",Idiomas!$A$12&amp;" "&amp;ROW()-1),"")</f>
        <v>Tarea 55</v>
      </c>
      <c r="B56" s="53">
        <f>IFERROR(MATCH(Datos!$A56,Configura!$B$9:$B$18,0),0)</f>
        <v>4</v>
      </c>
      <c r="C56" s="53">
        <f>IFERROR(MATCH(Datos!$B56,Configura!$D$9:$D$11,0),0)</f>
        <v>2</v>
      </c>
      <c r="D56" s="53" cm="1">
        <f t="array" aca="1" ref="D56" ca="1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1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>R-60</v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>R-60</v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>R60:R67</v>
      </c>
    </row>
    <row r="57" spans="1:16" ht="16.5" thickTop="1" thickBot="1" x14ac:dyDescent="0.3">
      <c r="A57" s="56" t="str">
        <f>IFERROR(IF(Datos!$A57="","",Idiomas!$A$12&amp;" "&amp;ROW()-1),"")</f>
        <v>Tarea 56</v>
      </c>
      <c r="B57" s="57">
        <f>IFERROR(MATCH(Datos!$A57,Configura!$B$9:$B$18,0),0)</f>
        <v>4</v>
      </c>
      <c r="C57" s="57">
        <f>IFERROR(MATCH(Datos!$B57,Configura!$D$9:$D$11,0),0)</f>
        <v>2</v>
      </c>
      <c r="D57" s="57" cm="1">
        <f t="array" aca="1" ref="D57" ca="1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1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>R-51</v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>R-51</v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>R51:R58</v>
      </c>
    </row>
    <row r="58" spans="1:16" ht="16.5" thickTop="1" thickBot="1" x14ac:dyDescent="0.3">
      <c r="A58" s="52" t="str">
        <f>IFERROR(IF(Datos!$A58="","",Idiomas!$A$12&amp;" "&amp;ROW()-1),"")</f>
        <v>Tarea 57</v>
      </c>
      <c r="B58" s="53">
        <f>IFERROR(MATCH(Datos!$A58,Configura!$B$9:$B$18,0),0)</f>
        <v>4</v>
      </c>
      <c r="C58" s="53">
        <f>IFERROR(MATCH(Datos!$B58,Configura!$D$9:$D$11,0),0)</f>
        <v>1</v>
      </c>
      <c r="D58" s="53" cm="1">
        <f t="array" aca="1" ref="D58" ca="1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1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>R-42</v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>R-42</v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>R42:R49</v>
      </c>
    </row>
    <row r="59" spans="1:16" ht="16.5" thickTop="1" thickBot="1" x14ac:dyDescent="0.3">
      <c r="A59" s="56" t="str">
        <f>IFERROR(IF(Datos!$A59="","",Idiomas!$A$12&amp;" "&amp;ROW()-1),"")</f>
        <v>Tarea 58</v>
      </c>
      <c r="B59" s="57">
        <f>IFERROR(MATCH(Datos!$A59,Configura!$B$9:$B$18,0),0)</f>
        <v>4</v>
      </c>
      <c r="C59" s="57">
        <f>IFERROR(MATCH(Datos!$B59,Configura!$D$9:$D$11,0),0)</f>
        <v>2</v>
      </c>
      <c r="D59" s="57" cm="1">
        <f t="array" aca="1" ref="D59" ca="1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1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>R-33</v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>R-33</v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>R33:R40</v>
      </c>
    </row>
    <row r="60" spans="1:16" ht="16.5" thickTop="1" thickBot="1" x14ac:dyDescent="0.3">
      <c r="A60" s="52" t="str">
        <f>IFERROR(IF(Datos!$A60="","",Idiomas!$A$12&amp;" "&amp;ROW()-1),"")</f>
        <v>Tarea 59</v>
      </c>
      <c r="B60" s="53">
        <f>IFERROR(MATCH(Datos!$A60,Configura!$B$9:$B$18,0),0)</f>
        <v>4</v>
      </c>
      <c r="C60" s="53">
        <f>IFERROR(MATCH(Datos!$B60,Configura!$D$9:$D$11,0),0)</f>
        <v>2</v>
      </c>
      <c r="D60" s="53" cm="1">
        <f t="array" aca="1" ref="D60" ca="1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1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>R-24</v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>R-24</v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>R24:R31</v>
      </c>
    </row>
    <row r="61" spans="1:16" ht="16.5" thickTop="1" thickBot="1" x14ac:dyDescent="0.3">
      <c r="A61" s="56" t="str">
        <f>IFERROR(IF(Datos!$A61="","",Idiomas!$A$12&amp;" "&amp;ROW()-1),"")</f>
        <v>Tarea 60</v>
      </c>
      <c r="B61" s="57">
        <f>IFERROR(MATCH(Datos!$A61,Configura!$B$9:$B$18,0),0)</f>
        <v>4</v>
      </c>
      <c r="C61" s="57">
        <f>IFERROR(MATCH(Datos!$B61,Configura!$D$9:$D$11,0),0)</f>
        <v>2</v>
      </c>
      <c r="D61" s="57" cm="1">
        <f t="array" aca="1" ref="D61" ca="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1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>R-15</v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>R-15</v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>R15:R22</v>
      </c>
    </row>
    <row r="62" spans="1:16" ht="16.5" thickTop="1" thickBot="1" x14ac:dyDescent="0.3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6.5" thickTop="1" thickBot="1" x14ac:dyDescent="0.3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6.5" thickTop="1" thickBot="1" x14ac:dyDescent="0.3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6.5" thickTop="1" thickBot="1" x14ac:dyDescent="0.3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6.5" thickTop="1" thickBot="1" x14ac:dyDescent="0.3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6.5" thickTop="1" thickBot="1" x14ac:dyDescent="0.3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6.5" thickTop="1" thickBot="1" x14ac:dyDescent="0.3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6.5" thickTop="1" thickBot="1" x14ac:dyDescent="0.3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6.5" thickTop="1" thickBot="1" x14ac:dyDescent="0.3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6.5" thickTop="1" thickBot="1" x14ac:dyDescent="0.3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6.5" thickTop="1" thickBot="1" x14ac:dyDescent="0.3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6.5" thickTop="1" thickBot="1" x14ac:dyDescent="0.3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6.5" thickTop="1" thickBot="1" x14ac:dyDescent="0.3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6.5" thickTop="1" thickBot="1" x14ac:dyDescent="0.3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6.5" thickTop="1" thickBot="1" x14ac:dyDescent="0.3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6.5" thickTop="1" thickBot="1" x14ac:dyDescent="0.3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6.5" thickTop="1" thickBot="1" x14ac:dyDescent="0.3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6.5" thickTop="1" thickBot="1" x14ac:dyDescent="0.3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6.5" thickTop="1" thickBot="1" x14ac:dyDescent="0.3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6.5" thickTop="1" thickBot="1" x14ac:dyDescent="0.3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6.5" thickTop="1" thickBot="1" x14ac:dyDescent="0.3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6.5" thickTop="1" thickBot="1" x14ac:dyDescent="0.3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6.5" thickTop="1" thickBot="1" x14ac:dyDescent="0.3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6.5" thickTop="1" thickBot="1" x14ac:dyDescent="0.3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6.5" thickTop="1" thickBot="1" x14ac:dyDescent="0.3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6.5" thickTop="1" thickBot="1" x14ac:dyDescent="0.3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6.5" thickTop="1" thickBot="1" x14ac:dyDescent="0.3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6.5" thickTop="1" thickBot="1" x14ac:dyDescent="0.3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6.5" thickTop="1" thickBot="1" x14ac:dyDescent="0.3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6.5" thickTop="1" thickBot="1" x14ac:dyDescent="0.3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6.5" thickTop="1" thickBot="1" x14ac:dyDescent="0.3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6.5" thickTop="1" thickBot="1" x14ac:dyDescent="0.3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6.5" thickTop="1" thickBot="1" x14ac:dyDescent="0.3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6.5" thickTop="1" thickBot="1" x14ac:dyDescent="0.3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6.5" thickTop="1" thickBot="1" x14ac:dyDescent="0.3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6.5" thickTop="1" thickBot="1" x14ac:dyDescent="0.3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6.5" thickTop="1" thickBot="1" x14ac:dyDescent="0.3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6.5" thickTop="1" thickBot="1" x14ac:dyDescent="0.3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6.5" thickTop="1" thickBot="1" x14ac:dyDescent="0.3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6.5" thickTop="1" thickBot="1" x14ac:dyDescent="0.3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85546875" style="2" hidden="1"/>
  </cols>
  <sheetData>
    <row r="1" spans="1:51" s="23" customFormat="1" x14ac:dyDescent="0.2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2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25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39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1-1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25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>
        <f t="shared" ca="1" si="1"/>
        <v>39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1-2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25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>
        <f t="shared" ca="1" si="1"/>
        <v>39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1-3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25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>
        <f t="shared" ca="1" si="1"/>
        <v>39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1-4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25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>
        <f t="shared" ca="1" si="1"/>
        <v>39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1-5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25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>
        <f t="shared" ca="1" si="1"/>
        <v>39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1-6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25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>
        <f t="shared" ca="1" si="1"/>
        <v>39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1-7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25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>
        <f t="shared" ca="1" si="1"/>
        <v>39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1-8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25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39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25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2</v>
      </c>
      <c r="I12" s="20">
        <f t="shared" ca="1" si="1"/>
        <v>38</v>
      </c>
      <c r="J12" s="20" cm="1">
        <f t="array" aca="1" ref="J12" ca="1">IF(I12="","",IF(I12&lt;&gt;I11,1,IF(J11=misLíneas-2,0,J11+1)))</f>
        <v>1</v>
      </c>
      <c r="K12" s="20" t="str" cm="1">
        <f t="array" aca="1" ref="K12" ca="1">IF(OR(J12=0,J12=""),"",INDEX(misCriticidades,I12)&amp;"-"&amp;IFERROR(MATCH(J12,miOrdenTarjeta,0),0))</f>
        <v>2-1</v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60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25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2</v>
      </c>
      <c r="I13" s="20">
        <f t="shared" ca="1" si="1"/>
        <v>38</v>
      </c>
      <c r="J13" s="20" cm="1">
        <f t="array" aca="1" ref="J13" ca="1">IF(I13="","",IF(I13&lt;&gt;I12,1,IF(J12=misLíneas-2,0,J12+1)))</f>
        <v>2</v>
      </c>
      <c r="K13" s="20" t="str" cm="1">
        <f t="array" aca="1" ref="K13" ca="1">IF(OR(J13=0,J13=""),"",INDEX(misCriticidades,I13)&amp;"-"&amp;IFERROR(MATCH(J13,miOrdenTarjeta,0),0))</f>
        <v>2-2</v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60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25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2</v>
      </c>
      <c r="I14" s="20">
        <f t="shared" ca="1" si="1"/>
        <v>38</v>
      </c>
      <c r="J14" s="20" cm="1">
        <f t="array" aca="1" ref="J14" ca="1">IF(I14="","",IF(I14&lt;&gt;I13,1,IF(J13=misLíneas-2,0,J13+1)))</f>
        <v>3</v>
      </c>
      <c r="K14" s="20" t="str" cm="1">
        <f t="array" aca="1" ref="K14" ca="1">IF(OR(J14=0,J14=""),"",INDEX(misCriticidades,I14)&amp;"-"&amp;IFERROR(MATCH(J14,miOrdenTarjeta,0),0))</f>
        <v>2-3</v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60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25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2</v>
      </c>
      <c r="I15" s="20">
        <f t="shared" ca="1" si="1"/>
        <v>38</v>
      </c>
      <c r="J15" s="20" cm="1">
        <f t="array" aca="1" ref="J15" ca="1">IF(I15="","",IF(I15&lt;&gt;I14,1,IF(J14=misLíneas-2,0,J14+1)))</f>
        <v>4</v>
      </c>
      <c r="K15" s="20" t="str" cm="1">
        <f t="array" aca="1" ref="K15" ca="1">IF(OR(J15=0,J15=""),"",INDEX(misCriticidades,I15)&amp;"-"&amp;IFERROR(MATCH(J15,miOrdenTarjeta,0),0))</f>
        <v>2-4</v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60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25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2</v>
      </c>
      <c r="I16" s="20">
        <f t="shared" ca="1" si="1"/>
        <v>38</v>
      </c>
      <c r="J16" s="20" cm="1">
        <f t="array" aca="1" ref="J16" ca="1">IF(I16="","",IF(I16&lt;&gt;I15,1,IF(J15=misLíneas-2,0,J15+1)))</f>
        <v>5</v>
      </c>
      <c r="K16" s="20" t="str" cm="1">
        <f t="array" aca="1" ref="K16" ca="1">IF(OR(J16=0,J16=""),"",INDEX(misCriticidades,I16)&amp;"-"&amp;IFERROR(MATCH(J16,miOrdenTarjeta,0),0))</f>
        <v>2-5</v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60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25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2</v>
      </c>
      <c r="I17" s="20">
        <f t="shared" ca="1" si="1"/>
        <v>38</v>
      </c>
      <c r="J17" s="20" cm="1">
        <f t="array" aca="1" ref="J17" ca="1">IF(I17="","",IF(I17&lt;&gt;I16,1,IF(J16=misLíneas-2,0,J16+1)))</f>
        <v>6</v>
      </c>
      <c r="K17" s="20" t="str" cm="1">
        <f t="array" aca="1" ref="K17" ca="1">IF(OR(J17=0,J17=""),"",INDEX(misCriticidades,I17)&amp;"-"&amp;IFERROR(MATCH(J17,miOrdenTarjeta,0),0))</f>
        <v>2-6</v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60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25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2</v>
      </c>
      <c r="I18" s="20">
        <f t="shared" ca="1" si="1"/>
        <v>38</v>
      </c>
      <c r="J18" s="20" cm="1">
        <f t="array" aca="1" ref="J18" ca="1">IF(I18="","",IF(I18&lt;&gt;I17,1,IF(J17=misLíneas-2,0,J17+1)))</f>
        <v>7</v>
      </c>
      <c r="K18" s="20" t="str" cm="1">
        <f t="array" aca="1" ref="K18" ca="1">IF(OR(J18=0,J18=""),"",INDEX(misCriticidades,I18)&amp;"-"&amp;IFERROR(MATCH(J18,miOrdenTarjeta,0),0))</f>
        <v>2-7</v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60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25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2</v>
      </c>
      <c r="I19" s="20">
        <f t="shared" ca="1" si="1"/>
        <v>38</v>
      </c>
      <c r="J19" s="20" cm="1">
        <f t="array" aca="1" ref="J19" ca="1">IF(I19="","",IF(I19&lt;&gt;I18,1,IF(J18=misLíneas-2,0,J18+1)))</f>
        <v>8</v>
      </c>
      <c r="K19" s="20" t="str" cm="1">
        <f t="array" aca="1" ref="K19" ca="1">IF(OR(J19=0,J19=""),"",INDEX(misCriticidades,I19)&amp;"-"&amp;IFERROR(MATCH(J19,miOrdenTarjeta,0),0))</f>
        <v>2-8</v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60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25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>
        <f t="shared" ca="1" si="1"/>
        <v>38</v>
      </c>
      <c r="J20" s="20" cm="1">
        <f t="array" aca="1" ref="J20" ca="1">IF(I20="","",IF(I20&lt;&gt;I19,1,IF(J19=misLíneas-2,0,J19+1)))</f>
        <v>0</v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60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25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3</v>
      </c>
      <c r="I21" s="20">
        <f t="shared" ca="1" si="1"/>
        <v>37</v>
      </c>
      <c r="J21" s="20" cm="1">
        <f t="array" aca="1" ref="J21" ca="1">IF(I21="","",IF(I21&lt;&gt;I20,1,IF(J20=misLíneas-2,0,J20+1)))</f>
        <v>1</v>
      </c>
      <c r="K21" s="20" t="str" cm="1">
        <f t="array" aca="1" ref="K21" ca="1">IF(OR(J21=0,J21=""),"",INDEX(misCriticidades,I21)&amp;"-"&amp;IFERROR(MATCH(J21,miOrdenTarjeta,0),0))</f>
        <v>2-1</v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59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25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3</v>
      </c>
      <c r="I22" s="20">
        <f t="shared" ca="1" si="1"/>
        <v>37</v>
      </c>
      <c r="J22" s="20" cm="1">
        <f t="array" aca="1" ref="J22" ca="1">IF(I22="","",IF(I22&lt;&gt;I21,1,IF(J21=misLíneas-2,0,J21+1)))</f>
        <v>2</v>
      </c>
      <c r="K22" s="20" t="str" cm="1">
        <f t="array" aca="1" ref="K22" ca="1">IF(OR(J22=0,J22=""),"",INDEX(misCriticidades,I22)&amp;"-"&amp;IFERROR(MATCH(J22,miOrdenTarjeta,0),0))</f>
        <v>2-2</v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59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25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3</v>
      </c>
      <c r="I23" s="20">
        <f t="shared" ca="1" si="1"/>
        <v>37</v>
      </c>
      <c r="J23" s="20" cm="1">
        <f t="array" aca="1" ref="J23" ca="1">IF(I23="","",IF(I23&lt;&gt;I22,1,IF(J22=misLíneas-2,0,J22+1)))</f>
        <v>3</v>
      </c>
      <c r="K23" s="20" t="str" cm="1">
        <f t="array" aca="1" ref="K23" ca="1">IF(OR(J23=0,J23=""),"",INDEX(misCriticidades,I23)&amp;"-"&amp;IFERROR(MATCH(J23,miOrdenTarjeta,0),0))</f>
        <v>2-3</v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59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25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3</v>
      </c>
      <c r="I24" s="20">
        <f t="shared" ca="1" si="1"/>
        <v>37</v>
      </c>
      <c r="J24" s="20" cm="1">
        <f t="array" aca="1" ref="J24" ca="1">IF(I24="","",IF(I24&lt;&gt;I23,1,IF(J23=misLíneas-2,0,J23+1)))</f>
        <v>4</v>
      </c>
      <c r="K24" s="20" t="str" cm="1">
        <f t="array" aca="1" ref="K24" ca="1">IF(OR(J24=0,J24=""),"",INDEX(misCriticidades,I24)&amp;"-"&amp;IFERROR(MATCH(J24,miOrdenTarjeta,0),0))</f>
        <v>2-4</v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59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25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3</v>
      </c>
      <c r="I25" s="20">
        <f t="shared" ca="1" si="1"/>
        <v>37</v>
      </c>
      <c r="J25" s="20" cm="1">
        <f t="array" aca="1" ref="J25" ca="1">IF(I25="","",IF(I25&lt;&gt;I24,1,IF(J24=misLíneas-2,0,J24+1)))</f>
        <v>5</v>
      </c>
      <c r="K25" s="20" t="str" cm="1">
        <f t="array" aca="1" ref="K25" ca="1">IF(OR(J25=0,J25=""),"",INDEX(misCriticidades,I25)&amp;"-"&amp;IFERROR(MATCH(J25,miOrdenTarjeta,0),0))</f>
        <v>2-5</v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59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25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3</v>
      </c>
      <c r="I26" s="20">
        <f t="shared" ca="1" si="1"/>
        <v>37</v>
      </c>
      <c r="J26" s="20" cm="1">
        <f t="array" aca="1" ref="J26" ca="1">IF(I26="","",IF(I26&lt;&gt;I25,1,IF(J25=misLíneas-2,0,J25+1)))</f>
        <v>6</v>
      </c>
      <c r="K26" s="20" t="str" cm="1">
        <f t="array" aca="1" ref="K26" ca="1">IF(OR(J26=0,J26=""),"",INDEX(misCriticidades,I26)&amp;"-"&amp;IFERROR(MATCH(J26,miOrdenTarjeta,0),0))</f>
        <v>2-6</v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>
        <f ca="1"/>
        <v>25</v>
      </c>
      <c r="R26" s="20">
        <f t="shared" ca="1" si="13"/>
        <v>3</v>
      </c>
      <c r="S26" s="20">
        <f t="shared" ca="1" si="3"/>
        <v>59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25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3</v>
      </c>
      <c r="I27" s="20">
        <f t="shared" ca="1" si="1"/>
        <v>37</v>
      </c>
      <c r="J27" s="20" cm="1">
        <f t="array" aca="1" ref="J27" ca="1">IF(I27="","",IF(I27&lt;&gt;I26,1,IF(J26=misLíneas-2,0,J26+1)))</f>
        <v>7</v>
      </c>
      <c r="K27" s="20" t="str" cm="1">
        <f t="array" aca="1" ref="K27" ca="1">IF(OR(J27=0,J27=""),"",INDEX(misCriticidades,I27)&amp;"-"&amp;IFERROR(MATCH(J27,miOrdenTarjeta,0),0))</f>
        <v>2-7</v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>
        <f ca="1"/>
        <v>26</v>
      </c>
      <c r="R27" s="20">
        <f t="shared" ca="1" si="13"/>
        <v>3</v>
      </c>
      <c r="S27" s="20">
        <f t="shared" ca="1" si="3"/>
        <v>59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25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3</v>
      </c>
      <c r="I28" s="20">
        <f t="shared" ca="1" si="1"/>
        <v>37</v>
      </c>
      <c r="J28" s="20" cm="1">
        <f t="array" aca="1" ref="J28" ca="1">IF(I28="","",IF(I28&lt;&gt;I27,1,IF(J27=misLíneas-2,0,J27+1)))</f>
        <v>8</v>
      </c>
      <c r="K28" s="20" t="str" cm="1">
        <f t="array" aca="1" ref="K28" ca="1">IF(OR(J28=0,J28=""),"",INDEX(misCriticidades,I28)&amp;"-"&amp;IFERROR(MATCH(J28,miOrdenTarjeta,0),0))</f>
        <v>2-8</v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>
        <f ca="1"/>
        <v>27</v>
      </c>
      <c r="R28" s="20">
        <f t="shared" ca="1" si="13"/>
        <v>3</v>
      </c>
      <c r="S28" s="20">
        <f t="shared" ca="1" si="3"/>
        <v>59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25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3</v>
      </c>
      <c r="I29" s="20">
        <f t="shared" ca="1" si="1"/>
        <v>37</v>
      </c>
      <c r="J29" s="20" cm="1">
        <f t="array" aca="1" ref="J29" ca="1">IF(I29="","",IF(I29&lt;&gt;I28,1,IF(J28=misLíneas-2,0,J28+1)))</f>
        <v>0</v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>
        <f ca="1"/>
        <v>28</v>
      </c>
      <c r="R29" s="20">
        <f t="shared" ca="1" si="13"/>
        <v>3</v>
      </c>
      <c r="S29" s="20">
        <f t="shared" ca="1" si="3"/>
        <v>59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25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4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>
        <f ca="1"/>
        <v>29</v>
      </c>
      <c r="R30" s="20">
        <f t="shared" ca="1" si="13"/>
        <v>4</v>
      </c>
      <c r="S30" s="20">
        <f t="shared" ca="1" si="3"/>
        <v>58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25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4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>
        <f ca="1"/>
        <v>30</v>
      </c>
      <c r="R31" s="20">
        <f t="shared" ca="1" si="13"/>
        <v>4</v>
      </c>
      <c r="S31" s="20">
        <f t="shared" ca="1" si="3"/>
        <v>58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25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4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>
        <f ca="1"/>
        <v>31</v>
      </c>
      <c r="R32" s="20">
        <f t="shared" ca="1" si="13"/>
        <v>4</v>
      </c>
      <c r="S32" s="20">
        <f t="shared" ca="1" si="3"/>
        <v>58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25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4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>
        <f ca="1"/>
        <v>32</v>
      </c>
      <c r="R33" s="20">
        <f t="shared" ca="1" si="13"/>
        <v>4</v>
      </c>
      <c r="S33" s="20">
        <f t="shared" ca="1" si="3"/>
        <v>58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25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4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>
        <f ca="1"/>
        <v>33</v>
      </c>
      <c r="R34" s="20">
        <f t="shared" ca="1" si="13"/>
        <v>4</v>
      </c>
      <c r="S34" s="20">
        <f t="shared" ca="1" si="3"/>
        <v>58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25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4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>
        <f ca="1"/>
        <v>34</v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58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25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4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>
        <f ca="1"/>
        <v>35</v>
      </c>
      <c r="R36" s="20">
        <f t="shared" ca="1" si="13"/>
        <v>4</v>
      </c>
      <c r="S36" s="20">
        <f t="shared" ca="1" si="24"/>
        <v>58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25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4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>
        <f ca="1"/>
        <v>36</v>
      </c>
      <c r="R37" s="20">
        <f t="shared" ca="1" si="13"/>
        <v>4</v>
      </c>
      <c r="S37" s="20">
        <f t="shared" ca="1" si="24"/>
        <v>58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25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>
        <f ca="1"/>
        <v>37</v>
      </c>
      <c r="H38" s="20">
        <f t="shared" ca="1" si="11"/>
        <v>4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58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25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>
        <f ca="1"/>
        <v>38</v>
      </c>
      <c r="H39" s="20">
        <f t="shared" ca="1" si="11"/>
        <v>4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57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25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>
        <f ca="1"/>
        <v>39</v>
      </c>
      <c r="H40" s="20">
        <f t="shared" ca="1" si="11"/>
        <v>4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57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25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4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>
        <f ca="1"/>
        <v>40</v>
      </c>
      <c r="R41" s="20">
        <f t="shared" ca="1" si="13"/>
        <v>5</v>
      </c>
      <c r="S41" s="20">
        <f t="shared" ca="1" si="24"/>
        <v>57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25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4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>
        <f ca="1"/>
        <v>41</v>
      </c>
      <c r="R42" s="20">
        <f t="shared" ca="1" si="13"/>
        <v>5</v>
      </c>
      <c r="S42" s="20">
        <f t="shared" ca="1" si="24"/>
        <v>57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25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4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>
        <f ca="1"/>
        <v>42</v>
      </c>
      <c r="R43" s="20">
        <f t="shared" ca="1" si="13"/>
        <v>5</v>
      </c>
      <c r="S43" s="20">
        <f t="shared" ca="1" si="24"/>
        <v>57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25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4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>
        <f ca="1"/>
        <v>43</v>
      </c>
      <c r="R44" s="20">
        <f t="shared" ca="1" si="13"/>
        <v>5</v>
      </c>
      <c r="S44" s="20">
        <f t="shared" ca="1" si="24"/>
        <v>57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25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4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>
        <f ca="1"/>
        <v>44</v>
      </c>
      <c r="R45" s="20">
        <f t="shared" ca="1" si="13"/>
        <v>5</v>
      </c>
      <c r="S45" s="20">
        <f t="shared" ca="1" si="24"/>
        <v>57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25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4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>
        <f ca="1"/>
        <v>45</v>
      </c>
      <c r="R46" s="20">
        <f t="shared" ca="1" si="13"/>
        <v>5</v>
      </c>
      <c r="S46" s="20">
        <f t="shared" ca="1" si="24"/>
        <v>57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25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4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>
        <f ca="1"/>
        <v>46</v>
      </c>
      <c r="R47" s="20">
        <f t="shared" ca="1" si="13"/>
        <v>5</v>
      </c>
      <c r="S47" s="20">
        <f t="shared" ca="1" si="24"/>
        <v>57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25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4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>
        <f ca="1"/>
        <v>47</v>
      </c>
      <c r="R48" s="20">
        <f t="shared" ca="1" si="13"/>
        <v>6</v>
      </c>
      <c r="S48" s="20">
        <f t="shared" ca="1" si="24"/>
        <v>56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25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4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>
        <f ca="1"/>
        <v>48</v>
      </c>
      <c r="R49" s="20">
        <f t="shared" ca="1" si="13"/>
        <v>6</v>
      </c>
      <c r="S49" s="20">
        <f t="shared" ca="1" si="24"/>
        <v>56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25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4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>
        <f ca="1"/>
        <v>49</v>
      </c>
      <c r="R50" s="20">
        <f t="shared" ca="1" si="13"/>
        <v>6</v>
      </c>
      <c r="S50" s="20">
        <f t="shared" ca="1" si="24"/>
        <v>56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25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4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>
        <f ca="1"/>
        <v>50</v>
      </c>
      <c r="R51" s="20">
        <f t="shared" ca="1" si="13"/>
        <v>6</v>
      </c>
      <c r="S51" s="20">
        <f t="shared" ca="1" si="24"/>
        <v>56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25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4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>
        <f ca="1"/>
        <v>51</v>
      </c>
      <c r="R52" s="20">
        <f t="shared" ca="1" si="13"/>
        <v>6</v>
      </c>
      <c r="S52" s="20">
        <f t="shared" ca="1" si="24"/>
        <v>56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25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4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>
        <f ca="1"/>
        <v>52</v>
      </c>
      <c r="R53" s="20">
        <f t="shared" ca="1" si="13"/>
        <v>6</v>
      </c>
      <c r="S53" s="20">
        <f t="shared" ca="1" si="24"/>
        <v>56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25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4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>
        <f ca="1"/>
        <v>53</v>
      </c>
      <c r="R54" s="20">
        <f t="shared" ca="1" si="13"/>
        <v>6</v>
      </c>
      <c r="S54" s="20">
        <f t="shared" ca="1" si="24"/>
        <v>56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25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4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>
        <f ca="1"/>
        <v>54</v>
      </c>
      <c r="R55" s="20">
        <f t="shared" ca="1" si="13"/>
        <v>6</v>
      </c>
      <c r="S55" s="20">
        <f t="shared" ca="1" si="24"/>
        <v>56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25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4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>
        <f ca="1"/>
        <v>55</v>
      </c>
      <c r="R56" s="20">
        <f t="shared" ca="1" si="13"/>
        <v>6</v>
      </c>
      <c r="S56" s="20">
        <f t="shared" ca="1" si="24"/>
        <v>56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25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4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>
        <f ca="1"/>
        <v>56</v>
      </c>
      <c r="R57" s="20">
        <f t="shared" ca="1" si="13"/>
        <v>7</v>
      </c>
      <c r="S57" s="20">
        <f t="shared" ca="1" si="24"/>
        <v>55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25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4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>
        <f ca="1"/>
        <v>57</v>
      </c>
      <c r="R58" s="20">
        <f t="shared" ca="1" si="13"/>
        <v>7</v>
      </c>
      <c r="S58" s="20">
        <f t="shared" ca="1" si="24"/>
        <v>55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25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4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>
        <f ca="1"/>
        <v>58</v>
      </c>
      <c r="R59" s="20">
        <f t="shared" ca="1" si="13"/>
        <v>7</v>
      </c>
      <c r="S59" s="20">
        <f t="shared" ca="1" si="24"/>
        <v>55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25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4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>
        <f ca="1"/>
        <v>59</v>
      </c>
      <c r="R60" s="20">
        <f t="shared" ca="1" si="13"/>
        <v>7</v>
      </c>
      <c r="S60" s="20">
        <f t="shared" ca="1" si="24"/>
        <v>55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25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4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>
        <f ca="1"/>
        <v>60</v>
      </c>
      <c r="R61" s="20">
        <f t="shared" ca="1" si="13"/>
        <v>7</v>
      </c>
      <c r="S61" s="20">
        <f t="shared" ca="1" si="24"/>
        <v>55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25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4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55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25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4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55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25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4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55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25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4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55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25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4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54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1-1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25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4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54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1-2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25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4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54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1-3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25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4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54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1-4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25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4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54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1-5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25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4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54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1-6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25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4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54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1-7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25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4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54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1-8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25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4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54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25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4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53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1-1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25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4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53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1-2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25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4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53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1-3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25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4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53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1-4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25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4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53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1-5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25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4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53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1-6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25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4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53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1-7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25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4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53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1-8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25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4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53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25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4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52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1-1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25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4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52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1-2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25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4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52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1-3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25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4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52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1-4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25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4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52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1-5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25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4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52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1-6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25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4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52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1-7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25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4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52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1-8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25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4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52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25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4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51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25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4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51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25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4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51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25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4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51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25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4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51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25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4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51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25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4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51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25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4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51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25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4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51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25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4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50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1-1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25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4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50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1-2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25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4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50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1-3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25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4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50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1-4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25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4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50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1-5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25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4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50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1-6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25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4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50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1-7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25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4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50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1-8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25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4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50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25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4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49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1-1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25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4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49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1-2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25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4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49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1-3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25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4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49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1-4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25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4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49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1-5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25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4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49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1-6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25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4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49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1-7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25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4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49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1-8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25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4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49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25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4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48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1-1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25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4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48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1-2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25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4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48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1-3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25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4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48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1-4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25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4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48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1-5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25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4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48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1-6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25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4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48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1-7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25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4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48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1-8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25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4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48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25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4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47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1-1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25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4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47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1-2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25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4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47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1-3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25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4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47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1-4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25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4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47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1-5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25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4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47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1-6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25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4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47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1-7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25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4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47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1-8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25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4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47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25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4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46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1-1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25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4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46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1-2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25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4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46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1-3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25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4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46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1-4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25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4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46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1-5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25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4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46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1-6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25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4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46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1-7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25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4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46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1-8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25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4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46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25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4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45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1-1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25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4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45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1-2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25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4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45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1-3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25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4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45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1-4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25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4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45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1-5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25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4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45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1-6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25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4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45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1-7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25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4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45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1-8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25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4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45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25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4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44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1-1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25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4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44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1-2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25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4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44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1-3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25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4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44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1-4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25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4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44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1-5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25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4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44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1-6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25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4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44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1-7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25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4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44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1-8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25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4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44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25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4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43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1-1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25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4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43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1-2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25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4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43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1-3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25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4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43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1-4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25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4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43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1-5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25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4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43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1-6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25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4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43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1-7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25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4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43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1-8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25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4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43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25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4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42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1-1</v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25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4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42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1-2</v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25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4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42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1-3</v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25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4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42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1-4</v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25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4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42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1-5</v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25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4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42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1-6</v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25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4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42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1-7</v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25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4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42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1-8</v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25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4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42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25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4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41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1-1</v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25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4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41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1-2</v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25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4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41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1-3</v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25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4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41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1-4</v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25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4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41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1-5</v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25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4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41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1-6</v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25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4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41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1-7</v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25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4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41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1-8</v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25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4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41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25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4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40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1-1</v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25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4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40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1-2</v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25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4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40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1-3</v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25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4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40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1-4</v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25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4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40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1-5</v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25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4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40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1-6</v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25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4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40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1-7</v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2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7" width="32.5703125" style="2" customWidth="1"/>
    <col min="8" max="16384" width="10.85546875" style="2" hidden="1"/>
  </cols>
  <sheetData>
    <row r="1" spans="1:7" x14ac:dyDescent="0.25">
      <c r="A1" s="27">
        <f>IFERROR(MATCH(miIdioma,misIdiomas,0),1)</f>
        <v>1</v>
      </c>
      <c r="B1" s="2" t="s">
        <v>141</v>
      </c>
      <c r="C1" s="2" t="s">
        <v>159</v>
      </c>
      <c r="D1" s="2" t="s">
        <v>160</v>
      </c>
      <c r="E1" s="2" t="s">
        <v>161</v>
      </c>
      <c r="F1" s="2" t="s">
        <v>162</v>
      </c>
      <c r="G1" s="2" t="s">
        <v>163</v>
      </c>
    </row>
    <row r="2" spans="1:7" x14ac:dyDescent="0.25">
      <c r="A2" s="32" t="str" cm="1">
        <f t="array" ref="A2">INDEX(TablaIdiomas[#This Row],1,$A$1)&amp;""</f>
        <v>Tablero KANBAN</v>
      </c>
      <c r="B2" s="2" t="s">
        <v>164</v>
      </c>
      <c r="C2" s="2" t="s">
        <v>165</v>
      </c>
      <c r="D2" s="2" t="s">
        <v>166</v>
      </c>
      <c r="E2" s="2" t="s">
        <v>167</v>
      </c>
      <c r="F2" s="2" t="s">
        <v>168</v>
      </c>
      <c r="G2" s="2" t="s">
        <v>169</v>
      </c>
    </row>
    <row r="3" spans="1:7" x14ac:dyDescent="0.25">
      <c r="A3" s="36" t="str" cm="1">
        <f t="array" ref="A3">INDEX(TablaIdiomas[#This Row],1,$A$1)&amp;""</f>
        <v>Idioma</v>
      </c>
      <c r="B3" s="2" t="s">
        <v>170</v>
      </c>
      <c r="C3" s="2" t="s">
        <v>171</v>
      </c>
      <c r="D3" s="2" t="s">
        <v>172</v>
      </c>
      <c r="E3" s="2" t="s">
        <v>173</v>
      </c>
      <c r="F3" s="2" t="s">
        <v>174</v>
      </c>
      <c r="G3" s="2" t="s">
        <v>175</v>
      </c>
    </row>
    <row r="4" spans="1:7" x14ac:dyDescent="0.25">
      <c r="A4" s="32" t="str" cm="1">
        <f t="array" ref="A4">INDEX(TablaIdiomas[#This Row],1,$A$1)&amp;""</f>
        <v>AVISO:</v>
      </c>
      <c r="B4" s="2" t="s">
        <v>176</v>
      </c>
      <c r="C4" s="2" t="s">
        <v>177</v>
      </c>
      <c r="D4" s="2" t="s">
        <v>178</v>
      </c>
      <c r="E4" s="2" t="s">
        <v>179</v>
      </c>
      <c r="F4" s="2" t="s">
        <v>180</v>
      </c>
      <c r="G4" s="2" t="s">
        <v>176</v>
      </c>
    </row>
    <row r="5" spans="1:7" x14ac:dyDescent="0.25">
      <c r="A5" s="36" t="str" cm="1">
        <f t="array" ref="A5">INDEX(TablaIdiomas[#This Row],1,$A$1)&amp;""</f>
        <v>Es preciso traducir</v>
      </c>
      <c r="B5" s="2" t="s">
        <v>181</v>
      </c>
      <c r="C5" s="2" t="s">
        <v>182</v>
      </c>
      <c r="D5" s="2" t="s">
        <v>183</v>
      </c>
      <c r="E5" s="2" t="s">
        <v>184</v>
      </c>
      <c r="F5" s="2" t="s">
        <v>185</v>
      </c>
      <c r="G5" s="2" t="s">
        <v>186</v>
      </c>
    </row>
    <row r="6" spans="1:7" x14ac:dyDescent="0.25">
      <c r="A6" s="32" t="str" cm="1">
        <f t="array" ref="A6">INDEX(TablaIdiomas[#This Row],1,$A$1)&amp;""</f>
        <v>Estados y Criticidad</v>
      </c>
      <c r="B6" s="2" t="s">
        <v>187</v>
      </c>
      <c r="C6" s="2" t="s">
        <v>188</v>
      </c>
      <c r="D6" s="2" t="s">
        <v>189</v>
      </c>
      <c r="E6" s="2" t="s">
        <v>190</v>
      </c>
      <c r="F6" s="2" t="s">
        <v>191</v>
      </c>
      <c r="G6" s="2" t="s">
        <v>192</v>
      </c>
    </row>
    <row r="7" spans="1:7" x14ac:dyDescent="0.25">
      <c r="A7" s="36" t="str" cm="1">
        <f t="array" ref="A7">INDEX(TablaIdiomas[#This Row],1,$A$1)&amp;""</f>
        <v>Estados</v>
      </c>
      <c r="B7" s="2" t="s">
        <v>193</v>
      </c>
      <c r="C7" s="2" t="s">
        <v>194</v>
      </c>
      <c r="D7" s="2" t="s">
        <v>195</v>
      </c>
      <c r="E7" s="2" t="s">
        <v>196</v>
      </c>
      <c r="F7" s="2" t="s">
        <v>197</v>
      </c>
      <c r="G7" s="2" t="s">
        <v>193</v>
      </c>
    </row>
    <row r="8" spans="1:7" x14ac:dyDescent="0.25">
      <c r="A8" s="32" t="str" cm="1">
        <f t="array" ref="A8">INDEX(TablaIdiomas[#This Row],1,$A$1)&amp;""</f>
        <v>Criticidad</v>
      </c>
      <c r="B8" s="2" t="s">
        <v>198</v>
      </c>
      <c r="C8" s="2" t="s">
        <v>199</v>
      </c>
      <c r="D8" s="2" t="s">
        <v>200</v>
      </c>
      <c r="E8" s="2" t="s">
        <v>201</v>
      </c>
      <c r="F8" s="2" t="s">
        <v>202</v>
      </c>
      <c r="G8" s="2" t="s">
        <v>203</v>
      </c>
    </row>
    <row r="9" spans="1:7" x14ac:dyDescent="0.25">
      <c r="A9" s="36" t="str" cm="1">
        <f t="array" ref="A9">INDEX(TablaIdiomas[#This Row],1,$A$1)&amp;""</f>
        <v>Miembros del equipo</v>
      </c>
      <c r="B9" s="2" t="s">
        <v>204</v>
      </c>
      <c r="C9" s="2" t="s">
        <v>205</v>
      </c>
      <c r="D9" s="2" t="s">
        <v>206</v>
      </c>
      <c r="E9" s="2" t="s">
        <v>207</v>
      </c>
      <c r="F9" s="2" t="s">
        <v>208</v>
      </c>
      <c r="G9" s="2" t="s">
        <v>209</v>
      </c>
    </row>
    <row r="10" spans="1:7" x14ac:dyDescent="0.25">
      <c r="A10" s="32" t="str" cm="1">
        <f t="array" ref="A10">INDEX(TablaIdiomas[#This Row],1,$A$1)&amp;""</f>
        <v>Estado final</v>
      </c>
      <c r="B10" s="2" t="s">
        <v>210</v>
      </c>
      <c r="C10" s="2" t="s">
        <v>211</v>
      </c>
      <c r="D10" s="2" t="s">
        <v>212</v>
      </c>
      <c r="E10" s="2" t="s">
        <v>213</v>
      </c>
      <c r="F10" s="2" t="s">
        <v>214</v>
      </c>
      <c r="G10" s="2" t="s">
        <v>210</v>
      </c>
    </row>
    <row r="11" spans="1:7" x14ac:dyDescent="0.25">
      <c r="A11" s="36" t="str" cm="1">
        <f t="array" ref="A11">INDEX(TablaIdiomas[#This Row],1,$A$1)&amp;""</f>
        <v>Nombre archivo en Excel para la Web</v>
      </c>
      <c r="B11" s="2" t="s">
        <v>215</v>
      </c>
      <c r="C11" s="2" t="s">
        <v>216</v>
      </c>
      <c r="D11" s="2" t="s">
        <v>217</v>
      </c>
      <c r="E11" s="2" t="s">
        <v>218</v>
      </c>
      <c r="F11" s="2" t="s">
        <v>219</v>
      </c>
      <c r="G11" s="2" t="s">
        <v>220</v>
      </c>
    </row>
    <row r="12" spans="1:7" x14ac:dyDescent="0.25">
      <c r="A12" s="32" t="str" cm="1">
        <f t="array" ref="A12">INDEX(TablaIdiomas[#This Row],1,$A$1)&amp;""</f>
        <v>Tarea</v>
      </c>
      <c r="B12" s="2" t="s">
        <v>221</v>
      </c>
      <c r="C12" s="2" t="s">
        <v>222</v>
      </c>
      <c r="D12" s="2" t="s">
        <v>223</v>
      </c>
      <c r="E12" s="2" t="s">
        <v>224</v>
      </c>
      <c r="F12" s="2" t="s">
        <v>225</v>
      </c>
      <c r="G12" s="2" t="s">
        <v>226</v>
      </c>
    </row>
    <row r="13" spans="1:7" x14ac:dyDescent="0.25">
      <c r="A13" s="36" t="str" cm="1">
        <f t="array" ref="A13">INDEX(TablaIdiomas[#This Row],1,$A$1)&amp;""</f>
        <v>Descripción</v>
      </c>
      <c r="B13" s="2" t="s">
        <v>227</v>
      </c>
      <c r="C13" s="2" t="s">
        <v>228</v>
      </c>
      <c r="D13" s="2" t="s">
        <v>228</v>
      </c>
      <c r="E13" s="2" t="s">
        <v>229</v>
      </c>
      <c r="F13" s="2" t="s">
        <v>230</v>
      </c>
      <c r="G13" s="2" t="s">
        <v>231</v>
      </c>
    </row>
    <row r="14" spans="1:7" x14ac:dyDescent="0.25">
      <c r="A14" s="32" t="str" cm="1">
        <f t="array" ref="A14">INDEX(TablaIdiomas[#This Row],1,$A$1)&amp;""</f>
        <v>Inicio</v>
      </c>
      <c r="B14" s="2" t="s">
        <v>232</v>
      </c>
      <c r="C14" s="2" t="s">
        <v>233</v>
      </c>
      <c r="D14" s="2" t="s">
        <v>234</v>
      </c>
      <c r="E14" s="2" t="s">
        <v>235</v>
      </c>
      <c r="F14" s="2" t="s">
        <v>233</v>
      </c>
      <c r="G14" s="2" t="s">
        <v>236</v>
      </c>
    </row>
    <row r="15" spans="1:7" x14ac:dyDescent="0.25">
      <c r="A15" s="36" t="str" cm="1">
        <f t="array" ref="A15">INDEX(TablaIdiomas[#This Row],1,$A$1)&amp;""</f>
        <v>Previsto</v>
      </c>
      <c r="B15" s="2" t="s">
        <v>237</v>
      </c>
      <c r="C15" s="2" t="s">
        <v>238</v>
      </c>
      <c r="D15" s="2" t="s">
        <v>239</v>
      </c>
      <c r="E15" s="2" t="s">
        <v>240</v>
      </c>
      <c r="F15" s="2" t="s">
        <v>241</v>
      </c>
      <c r="G15" s="2" t="s">
        <v>242</v>
      </c>
    </row>
    <row r="16" spans="1:7" x14ac:dyDescent="0.25">
      <c r="A16" s="32" t="str" cm="1">
        <f t="array" ref="A16">INDEX(TablaIdiomas[#This Row],1,$A$1)&amp;""</f>
        <v>Final</v>
      </c>
      <c r="B16" s="2" t="s">
        <v>243</v>
      </c>
      <c r="C16" s="2" t="s">
        <v>243</v>
      </c>
      <c r="D16" s="2" t="s">
        <v>244</v>
      </c>
      <c r="E16" s="2" t="s">
        <v>244</v>
      </c>
      <c r="F16" s="2" t="s">
        <v>244</v>
      </c>
      <c r="G16" s="2" t="s">
        <v>243</v>
      </c>
    </row>
    <row r="17" spans="1:7" x14ac:dyDescent="0.25">
      <c r="A17" s="36" t="str" cm="1">
        <f t="array" ref="A17">INDEX(TablaIdiomas[#This Row],1,$A$1)&amp;""</f>
        <v>Duración</v>
      </c>
      <c r="B17" s="2" t="s">
        <v>245</v>
      </c>
      <c r="C17" s="2" t="s">
        <v>246</v>
      </c>
      <c r="D17" s="2" t="s">
        <v>247</v>
      </c>
      <c r="E17" s="2" t="s">
        <v>248</v>
      </c>
      <c r="F17" s="2" t="s">
        <v>249</v>
      </c>
      <c r="G17" s="2" t="s">
        <v>250</v>
      </c>
    </row>
    <row r="18" spans="1:7" x14ac:dyDescent="0.25">
      <c r="A18" s="32" t="str" cm="1">
        <f t="array" ref="A18">INDEX(TablaIdiomas[#This Row],1,$A$1)&amp;""</f>
        <v>Retraso</v>
      </c>
      <c r="B18" s="2" t="s">
        <v>251</v>
      </c>
      <c r="C18" s="2" t="s">
        <v>252</v>
      </c>
      <c r="D18" s="2" t="s">
        <v>253</v>
      </c>
      <c r="E18" s="2" t="s">
        <v>254</v>
      </c>
      <c r="F18" s="2" t="s">
        <v>255</v>
      </c>
      <c r="G18" s="2" t="s">
        <v>256</v>
      </c>
    </row>
    <row r="19" spans="1:7" x14ac:dyDescent="0.25">
      <c r="A19" s="36" t="str" cm="1">
        <f t="array" ref="A19">INDEX(TablaIdiomas[#This Row],1,$A$1)&amp;""</f>
        <v>Asignado</v>
      </c>
      <c r="B19" s="2" t="s">
        <v>257</v>
      </c>
      <c r="C19" s="2" t="s">
        <v>258</v>
      </c>
      <c r="D19" s="2" t="s">
        <v>259</v>
      </c>
      <c r="E19" s="2" t="s">
        <v>260</v>
      </c>
      <c r="F19" s="2" t="s">
        <v>261</v>
      </c>
      <c r="G19" s="2" t="s">
        <v>262</v>
      </c>
    </row>
    <row r="20" spans="1:7" x14ac:dyDescent="0.25">
      <c r="A20" s="32" t="str" cm="1">
        <f t="array" ref="A20">INDEX(TablaIdiomas[#This Row],1,$A$1)&amp;""</f>
        <v>Filtro</v>
      </c>
      <c r="B20" s="2" t="s">
        <v>263</v>
      </c>
      <c r="C20" s="2" t="s">
        <v>264</v>
      </c>
      <c r="D20" s="2" t="s">
        <v>265</v>
      </c>
      <c r="E20" s="2" t="s">
        <v>263</v>
      </c>
      <c r="F20" s="2" t="s">
        <v>264</v>
      </c>
      <c r="G20" s="2" t="s">
        <v>263</v>
      </c>
    </row>
    <row r="21" spans="1:7" x14ac:dyDescent="0.25">
      <c r="A21" s="36" t="str" cm="1">
        <f t="array" ref="A21">INDEX(TablaIdiomas[#This Row],1,$A$1)&amp;""</f>
        <v>Celda</v>
      </c>
      <c r="B21" s="2" t="s">
        <v>266</v>
      </c>
      <c r="C21" s="2" t="s">
        <v>267</v>
      </c>
      <c r="D21" s="2" t="s">
        <v>268</v>
      </c>
      <c r="E21" s="2" t="s">
        <v>269</v>
      </c>
      <c r="F21" s="2" t="s">
        <v>270</v>
      </c>
      <c r="G21" s="2" t="s">
        <v>271</v>
      </c>
    </row>
    <row r="22" spans="1:7" x14ac:dyDescent="0.25">
      <c r="A22" s="32" t="str" cm="1">
        <f t="array" ref="A22">INDEX(TablaIdiomas[#This Row],1,$A$1)&amp;""</f>
        <v>Tarjetas con</v>
      </c>
      <c r="B22" s="2" t="s">
        <v>272</v>
      </c>
      <c r="C22" s="2" t="s">
        <v>273</v>
      </c>
      <c r="D22" s="2" t="s">
        <v>274</v>
      </c>
      <c r="E22" s="2" t="s">
        <v>275</v>
      </c>
      <c r="F22" s="2" t="s">
        <v>276</v>
      </c>
      <c r="G22" s="2" t="s">
        <v>277</v>
      </c>
    </row>
    <row r="23" spans="1:7" x14ac:dyDescent="0.25">
      <c r="A23" s="36" t="str" cm="1">
        <f t="array" ref="A23">INDEX(TablaIdiomas[#This Row],1,$A$1)&amp;""</f>
        <v>líneas</v>
      </c>
      <c r="B23" s="2" t="s">
        <v>278</v>
      </c>
      <c r="C23" s="2" t="s">
        <v>279</v>
      </c>
      <c r="D23" s="2" t="s">
        <v>280</v>
      </c>
      <c r="E23" s="2" t="s">
        <v>281</v>
      </c>
      <c r="F23" s="2" t="s">
        <v>282</v>
      </c>
      <c r="G23" s="2" t="s">
        <v>283</v>
      </c>
    </row>
    <row r="24" spans="1:7" x14ac:dyDescent="0.25">
      <c r="A24" s="32" t="str" cm="1">
        <f t="array" ref="A24">INDEX(TablaIdiomas[#This Row],1,$A$1)&amp;""</f>
        <v>tareas asignadas a</v>
      </c>
      <c r="B24" s="2" t="s">
        <v>284</v>
      </c>
      <c r="C24" s="2" t="s">
        <v>285</v>
      </c>
      <c r="D24" s="2" t="s">
        <v>286</v>
      </c>
      <c r="E24" s="2" t="s">
        <v>287</v>
      </c>
      <c r="F24" s="2" t="s">
        <v>288</v>
      </c>
      <c r="G24" s="2" t="s">
        <v>289</v>
      </c>
    </row>
    <row r="25" spans="1:7" x14ac:dyDescent="0.25">
      <c r="A25" s="36" t="str" cm="1">
        <f t="array" ref="A25">INDEX(TablaIdiomas[#This Row],1,$A$1)&amp;""</f>
        <v>Con criticidad</v>
      </c>
      <c r="B25" s="2" t="s">
        <v>290</v>
      </c>
      <c r="C25" s="2" t="s">
        <v>291</v>
      </c>
      <c r="D25" s="2" t="s">
        <v>292</v>
      </c>
      <c r="E25" s="2" t="s">
        <v>293</v>
      </c>
      <c r="F25" s="2" t="s">
        <v>294</v>
      </c>
      <c r="G25" s="2" t="s">
        <v>295</v>
      </c>
    </row>
    <row r="26" spans="1:7" x14ac:dyDescent="0.25">
      <c r="A26" s="32" t="str" cm="1">
        <f t="array" ref="A26">INDEX(TablaIdiomas[#This Row],1,$A$1)&amp;""</f>
        <v>Con inicio desde</v>
      </c>
      <c r="B26" s="2" t="s">
        <v>296</v>
      </c>
      <c r="C26" s="2" t="s">
        <v>297</v>
      </c>
      <c r="D26" s="2" t="s">
        <v>298</v>
      </c>
      <c r="E26" s="2" t="s">
        <v>299</v>
      </c>
      <c r="F26" s="2" t="s">
        <v>300</v>
      </c>
      <c r="G26" s="2" t="s">
        <v>301</v>
      </c>
    </row>
    <row r="27" spans="1:7" x14ac:dyDescent="0.25">
      <c r="A27" s="36" t="str" cm="1">
        <f t="array" ref="A27">INDEX(TablaIdiomas[#This Row],1,$A$1)&amp;""</f>
        <v>Con el texto</v>
      </c>
      <c r="B27" s="2" t="s">
        <v>302</v>
      </c>
      <c r="C27" s="2" t="s">
        <v>303</v>
      </c>
      <c r="D27" s="2" t="s">
        <v>304</v>
      </c>
      <c r="E27" s="2" t="s">
        <v>305</v>
      </c>
      <c r="F27" s="2" t="s">
        <v>306</v>
      </c>
      <c r="G27" s="2" t="s">
        <v>307</v>
      </c>
    </row>
    <row r="28" spans="1:7" x14ac:dyDescent="0.25">
      <c r="A28" s="32" t="str" cm="1">
        <f t="array" ref="A28">INDEX(TablaIdiomas[#This Row],1,$A$1)&amp;""</f>
        <v>Con un retraso &gt;</v>
      </c>
      <c r="B28" s="2" t="s">
        <v>308</v>
      </c>
      <c r="C28" s="2" t="s">
        <v>309</v>
      </c>
      <c r="D28" s="2" t="s">
        <v>310</v>
      </c>
      <c r="E28" s="2" t="s">
        <v>311</v>
      </c>
      <c r="F28" s="2" t="s">
        <v>312</v>
      </c>
      <c r="G28" s="2" t="s">
        <v>313</v>
      </c>
    </row>
    <row r="29" spans="1:7" x14ac:dyDescent="0.25">
      <c r="A29" s="36" t="str" cm="1">
        <f t="array" ref="A29">INDEX(TablaIdiomas[#This Row],1,$A$1)&amp;""</f>
        <v>días</v>
      </c>
      <c r="B29" s="2" t="s">
        <v>314</v>
      </c>
      <c r="C29" s="2" t="s">
        <v>315</v>
      </c>
      <c r="D29" s="2" t="s">
        <v>316</v>
      </c>
      <c r="E29" s="2" t="s">
        <v>317</v>
      </c>
      <c r="F29" s="2" t="s">
        <v>318</v>
      </c>
      <c r="G29" s="2" t="s">
        <v>319</v>
      </c>
    </row>
    <row r="30" spans="1:7" x14ac:dyDescent="0.25">
      <c r="A30" s="32" t="str" cm="1">
        <f t="array" ref="A30">INDEX(TablaIdiomas[#This Row],1,$A$1)&amp;""</f>
        <v>Orden en tarjetas</v>
      </c>
      <c r="B30" s="2" t="s">
        <v>320</v>
      </c>
      <c r="C30" s="2" t="s">
        <v>321</v>
      </c>
      <c r="D30" s="2" t="s">
        <v>322</v>
      </c>
      <c r="E30" s="2" t="s">
        <v>323</v>
      </c>
      <c r="F30" s="2" t="s">
        <v>324</v>
      </c>
      <c r="G30" s="2" t="s">
        <v>325</v>
      </c>
    </row>
    <row r="31" spans="1:7" x14ac:dyDescent="0.25">
      <c r="A31" s="36" t="str" cm="1">
        <f t="array" ref="A31">INDEX(TablaIdiomas[#This Row],1,$A$1)&amp;""</f>
        <v>Cambiar números del 2 al 8</v>
      </c>
      <c r="B31" s="2" t="s">
        <v>326</v>
      </c>
      <c r="C31" s="2" t="s">
        <v>327</v>
      </c>
      <c r="D31" s="2" t="s">
        <v>328</v>
      </c>
      <c r="E31" s="2" t="s">
        <v>329</v>
      </c>
      <c r="F31" s="2" t="s">
        <v>330</v>
      </c>
      <c r="G31" s="2" t="s">
        <v>331</v>
      </c>
    </row>
    <row r="32" spans="1:7" x14ac:dyDescent="0.25">
      <c r="A32" s="32" t="str" cm="1">
        <f t="array" ref="A32">INDEX(TablaIdiomas[#This Row],1,$A$1)&amp;""</f>
        <v>No duplicar los números</v>
      </c>
      <c r="B32" s="2" t="s">
        <v>332</v>
      </c>
      <c r="C32" s="2" t="s">
        <v>333</v>
      </c>
      <c r="D32" s="2" t="s">
        <v>334</v>
      </c>
      <c r="E32" s="2" t="s">
        <v>335</v>
      </c>
      <c r="F32" s="2" t="s">
        <v>336</v>
      </c>
      <c r="G32" s="2" t="s">
        <v>337</v>
      </c>
    </row>
    <row r="33" spans="1:7" x14ac:dyDescent="0.25">
      <c r="A33" s="36" t="str" cm="1">
        <f t="array" ref="A33">INDEX(TablaIdiomas[#This Row],1,$A$1)&amp;""</f>
        <v>Con una duración &gt;</v>
      </c>
      <c r="B33" s="2" t="s">
        <v>338</v>
      </c>
      <c r="C33" s="2" t="s">
        <v>339</v>
      </c>
      <c r="D33" s="2" t="s">
        <v>340</v>
      </c>
      <c r="E33" s="2" t="s">
        <v>341</v>
      </c>
      <c r="F33" s="2" t="s">
        <v>342</v>
      </c>
      <c r="G33" s="2" t="s">
        <v>343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ialejosilvaec@outlook.com</cp:lastModifiedBy>
  <cp:revision>0</cp:revision>
  <dcterms:created xsi:type="dcterms:W3CDTF">2022-12-26T11:27:14Z</dcterms:created>
  <dcterms:modified xsi:type="dcterms:W3CDTF">2026-01-16T16:39:22Z</dcterms:modified>
  <cp:category/>
  <cp:contentStatus/>
</cp:coreProperties>
</file>